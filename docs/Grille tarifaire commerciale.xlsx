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otice" sheetId="1" state="visible" r:id="rId1"/>
    <sheet name="Constantes" sheetId="2" state="visible" r:id="rId2"/>
    <sheet name="Vins" sheetId="3" state="visible" r:id="rId3"/>
    <sheet name="Coffret Cadeau" sheetId="4" state="visible" r:id="rId4"/>
    <sheet name="Joaillerie &amp; Horlogerie" sheetId="5" state="visible" r:id="rId5"/>
  </sheets>
  <definedNames>
    <definedName name="EpaisseurPanneau">Constantes!$B$3</definedName>
    <definedName name="TauxTVA">Constantes!$B$4</definedName>
    <definedName name="SeuilB2B">Constantes!$B$5</definedName>
    <definedName name="TauxRemiseB2B">Constantes!$B$6</definedName>
    <definedName name="MainOeuvreBase">Constantes!$B$7</definedName>
    <definedName name="MainOeuvreTaux">Constantes!$B$8</definedName>
    <definedName name="GravureSurfTexte">Constantes!$B$9</definedName>
    <definedName name="GravureSurfImage">Constantes!$B$10</definedName>
    <definedName name="FraisLogo">Constantes!$B$11</definedName>
    <definedName name="EssenceTable">Constantes!$A$15:$B$22</definedName>
    <definedName name="EssenceListe">Constantes!$A$15:$A$22</definedName>
    <definedName name="FinitionTable">Constantes!$A$26:$C$29</definedName>
    <definedName name="FinitionListe">Constantes!$A$26:$A$29</definedName>
    <definedName name="FermetureTable">Constantes!$A$33:$B$37</definedName>
    <definedName name="FermetureListe">Constantes!$A$33:$A$37</definedName>
    <definedName name="CalesTable">Constantes!$A$41:$B$42</definedName>
    <definedName name="CalesListe">Constantes!$A$41:$A$42</definedName>
    <definedName name="DoublureTable">Constantes!$A$46:$B$47</definedName>
    <definedName name="DoublureListe">Constantes!$A$46:$A$47</definedName>
    <definedName name="GravureProcedeTable">Constantes!$A$51:$B$54</definedName>
    <definedName name="GravureProcedeListe">Constantes!$A$51:$A$54</definedName>
    <definedName name="TailleVinsTable">Constantes!$A$58:$D$62</definedName>
    <definedName name="TailleVinsListe">Constantes!$A$58:$A$62</definedName>
    <definedName name="TailleCoffretTable">Constantes!$A$66:$D$69</definedName>
    <definedName name="TailleCoffretListe">Constantes!$A$66:$A$69</definedName>
    <definedName name="SousTypeBijouxTable">Constantes!$A$73:$D$85</definedName>
    <definedName name="SousTypeBijouxListe">Constantes!$A$73:$A$85</definedName>
  </definedNames>
  <calcPr calcId="124519" fullCalcOnLoad="1"/>
</workbook>
</file>

<file path=xl/styles.xml><?xml version="1.0" encoding="utf-8"?>
<styleSheet xmlns="http://schemas.openxmlformats.org/spreadsheetml/2006/main">
  <numFmts count="4">
    <numFmt numFmtId="164" formatCode="#,##0.00 €"/>
    <numFmt numFmtId="165" formatCode="0.0"/>
    <numFmt numFmtId="166" formatCode="0.0000"/>
    <numFmt numFmtId="167" formatCode="0.000000"/>
  </numFmts>
  <fonts count="9">
    <font>
      <name val="Calibri"/>
      <family val="2"/>
      <color theme="1"/>
      <sz val="11"/>
      <scheme val="minor"/>
    </font>
    <font>
      <name val="Georgia"/>
      <b val="1"/>
      <color rgb="001A1A1A"/>
      <sz val="16"/>
    </font>
    <font>
      <name val="Calibri"/>
      <b val="1"/>
      <color rgb="008A6A2E"/>
      <sz val="12"/>
    </font>
    <font>
      <name val="Calibri"/>
      <sz val="10"/>
    </font>
    <font>
      <name val="Calibri"/>
      <b val="1"/>
      <sz val="10"/>
    </font>
    <font>
      <name val="Calibri"/>
      <b val="1"/>
      <color rgb="00FFFFFF"/>
      <sz val="11"/>
    </font>
    <font>
      <b val="1"/>
      <sz val="10"/>
    </font>
    <font>
      <name val="Calibri"/>
      <b val="1"/>
      <color rgb="00FFFFFF"/>
      <sz val="10"/>
    </font>
    <font>
      <b val="1"/>
      <sz val="11"/>
    </font>
  </fonts>
  <fills count="7">
    <fill>
      <patternFill/>
    </fill>
    <fill>
      <patternFill patternType="gray125"/>
    </fill>
    <fill>
      <patternFill patternType="solid">
        <fgColor rgb="00C5A059"/>
      </patternFill>
    </fill>
    <fill>
      <patternFill patternType="solid">
        <fgColor rgb="00F4E9D2"/>
      </patternFill>
    </fill>
    <fill>
      <patternFill patternType="solid">
        <fgColor rgb="001A1A1A"/>
      </patternFill>
    </fill>
    <fill>
      <patternFill patternType="solid">
        <fgColor rgb="006B6B6B"/>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3" fillId="0" borderId="0" pivotButton="0" quotePrefix="0" xfId="0"/>
    <xf numFmtId="0" fontId="4" fillId="0" borderId="0" pivotButton="0" quotePrefix="0" xfId="0"/>
    <xf numFmtId="9" fontId="4" fillId="0" borderId="0" pivotButton="0" quotePrefix="0" xfId="0"/>
    <xf numFmtId="0" fontId="5" fillId="2" borderId="0" pivotButton="0" quotePrefix="0" xfId="0"/>
    <xf numFmtId="0" fontId="0" fillId="2" borderId="0" pivotButton="0" quotePrefix="0" xfId="0"/>
    <xf numFmtId="0" fontId="6" fillId="3" borderId="1" pivotButton="0" quotePrefix="0" xfId="0"/>
    <xf numFmtId="0" fontId="0" fillId="0" borderId="1" pivotButton="0" quotePrefix="0" xfId="0"/>
    <xf numFmtId="164" fontId="0" fillId="0" borderId="1" pivotButton="0" quotePrefix="0" xfId="0"/>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165" fontId="0" fillId="6" borderId="0" pivotButton="0" quotePrefix="0" xfId="0"/>
    <xf numFmtId="166" fontId="0" fillId="6" borderId="0" pivotButton="0" quotePrefix="0" xfId="0"/>
    <xf numFmtId="167" fontId="0" fillId="6" borderId="0" pivotButton="0" quotePrefix="0" xfId="0"/>
    <xf numFmtId="164" fontId="0" fillId="6" borderId="0" pivotButton="0" quotePrefix="0" xfId="0"/>
    <xf numFmtId="0" fontId="8" fillId="3" borderId="0" pivotButton="0" quotePrefix="0" xfId="0"/>
    <xf numFmtId="164" fontId="8"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10" customWidth="1" min="1" max="1"/>
  </cols>
  <sheetData>
    <row r="1">
      <c r="A1" s="1" t="inlineStr">
        <is>
          <t>L'Écrin Français — Grille tarifaire commerciale</t>
        </is>
      </c>
    </row>
    <row r="3">
      <c r="A3" s="2" t="inlineStr">
        <is>
          <t>À quoi sert ce fichier</t>
        </is>
      </c>
    </row>
    <row r="4" ht="30" customHeight="1">
      <c r="A4" s="3" t="inlineStr">
        <is>
          <t>Cet outil reproduit, hors visuel 3D, la logique de calcul du configurateur en ligne (src/logic/PricingEngine.js) pour que le service commercial puisse chiffrer un devis sans passer par le site. Trois onglets de saisie : Vins, Joaillerie &amp; Horlogerie, Coffret Cadeau.</t>
        </is>
      </c>
    </row>
    <row r="5" ht="8" customHeight="1">
      <c r="A5" s="3" t="inlineStr"/>
    </row>
    <row r="6">
      <c r="A6" s="2" t="inlineStr">
        <is>
          <t>Comment l'utiliser</t>
        </is>
      </c>
    </row>
    <row r="7" ht="30" customHeight="1">
      <c r="A7" s="3" t="inlineStr">
        <is>
          <t>Sur chaque onglet, une ligne = un article du devis. Les colonnes à fond noir sont à remplir (menus déroulants), les colonnes à fond gris clair se calculent seules — ne pas y taper de valeur. Le total de la commande apparaît en bas de chaque onglet.</t>
        </is>
      </c>
    </row>
    <row r="8" ht="30" customHeight="1">
      <c r="A8" s="3" t="inlineStr">
        <is>
          <t>Pour une taille standard, choisissez-la dans le menu déroulant : les dimensions se remplissent seules. Pour une taille sur-mesure (Vins et Coffret Cadeau), choisissez "Sur mesure..." puis entrez vous-même Longueur / largeur / hauteur en cm.</t>
        </is>
      </c>
    </row>
    <row r="9" ht="30" customHeight="1">
      <c r="A9" s="3" t="inlineStr">
        <is>
          <t>Pour la Joaillerie &amp; Horlogerie, chaque sous-type a des dimensions standard ; si le client veut une taille légèrement différente, entrez vos propres cm dans les colonnes "manuel" — elles remplacent alors la valeur standard pour cette dimension.</t>
        </is>
      </c>
    </row>
    <row r="10" ht="8" customHeight="1">
      <c r="A10" s="3" t="inlineStr"/>
    </row>
    <row r="11">
      <c r="A11" s="2" t="inlineStr">
        <is>
          <t>L'onglet Constantes</t>
        </is>
      </c>
    </row>
    <row r="12" ht="30" customHeight="1">
      <c r="A12" s="3" t="inlineStr">
        <is>
          <t>Tous les tarifs unitaires (prix du bois, de la finition, des fermetures, de la gravure...) sont regroupés dans l'onglet Constantes. Si le site change ses tarifs, il suffit de mettre à jour ce tableau — toutes les formules des 3 onglets suivent automatiquement.</t>
        </is>
      </c>
    </row>
    <row r="13" ht="8" customHeight="1">
      <c r="A13" s="3" t="inlineStr"/>
    </row>
    <row r="14">
      <c r="A14" s="2" t="inlineStr">
        <is>
          <t>Ce que ce fichier NE fait PAS</t>
        </is>
      </c>
    </row>
    <row r="15" ht="30" customHeight="1">
      <c r="A15" s="3" t="inlineStr">
        <is>
          <t>Pas d'aperçu 3D, pas de gravure localisée (intérieure/extérieure — ce réglage existe dans les données du site mais n'est pour l'instant câblé dans aucune interface, donc il ne change pas le prix sur le site non plus). Les couleurs de laque/velours n'ont pas d'impact sur le prix (comme sur le site).</t>
        </is>
      </c>
    </row>
    <row r="16" ht="8" customHeight="1">
      <c r="A16" s="3" t="inlineStr"/>
    </row>
    <row r="17">
      <c r="A17" s="2" t="inlineStr">
        <is>
          <t>Deux corrections volontaires par rapport au comportement actuel du site (2026-08-16)</t>
        </is>
      </c>
    </row>
    <row r="18" ht="30" customHeight="1">
      <c r="A18" s="3" t="inlineStr">
        <is>
          <t>1) Joaillerie &amp; Horlogerie : le site facture actuellement 4€ de "quincaillerie" par défaut sur ces articles alors qu'il n'y a pas de champ fermeture prévu pour cet univers — un bug de repli silencieux du moteur de prix. Ce fichier ne facture pas cette ligne.</t>
        </is>
      </c>
    </row>
    <row r="19" ht="30" customHeight="1">
      <c r="A19" s="3" t="inlineStr">
        <is>
          <t>2) Coffret Cadeau : le site propose un choix de doublure (Aucune / Velours) mais ne l'applique jamais au prix — un velours gainé se facture donc actuellement comme s'il n'y avait rien. Ce fichier facture la doublure velours 25€, comme les cales velours de l'univers Vins.</t>
        </is>
      </c>
    </row>
    <row r="20" ht="30" customHeight="1">
      <c r="A20" s="3" t="inlineStr">
        <is>
          <t>Ces deux points valent la peine d'être corrigés aussi côté site pour que le commercial et le configurateur en ligne donnent toujours le même prix — à voir avec le développeur.</t>
        </is>
      </c>
    </row>
    <row r="21" ht="8" customHeight="1">
      <c r="A21" s="3" t="inlineStr"/>
    </row>
    <row r="22">
      <c r="A22" s="2" t="inlineStr">
        <is>
          <t>Dernière mise à jour du contenu</t>
        </is>
      </c>
    </row>
    <row r="23" ht="30" customHeight="1">
      <c r="A23" s="3" t="inlineStr">
        <is>
          <t>Généré le 2026-08-16 à partir de l'état de src/logic/PricingEngine.js à cette date.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5"/>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s>
  <sheetData>
    <row r="1">
      <c r="A1" s="1" t="inlineStr">
        <is>
          <t>Paramètres de prix — miroir de src/logic/PricingEngine.js</t>
        </is>
      </c>
    </row>
    <row r="3">
      <c r="A3" s="4" t="inlineStr">
        <is>
          <t>Épaisseur panneau (m)</t>
        </is>
      </c>
      <c r="B3" s="5" t="n">
        <v>0.012</v>
      </c>
    </row>
    <row r="4">
      <c r="A4" s="4" t="inlineStr">
        <is>
          <t>TVA</t>
        </is>
      </c>
      <c r="B4" s="6" t="n">
        <v>0.2</v>
      </c>
    </row>
    <row r="5">
      <c r="A5" s="4" t="inlineStr">
        <is>
          <t>Remise B2B — seuil quantité (pièces)</t>
        </is>
      </c>
      <c r="B5" s="5" t="n">
        <v>10</v>
      </c>
    </row>
    <row r="6">
      <c r="A6" s="4" t="inlineStr">
        <is>
          <t>Remise B2B — taux de remise</t>
        </is>
      </c>
      <c r="B6" s="6" t="n">
        <v>0.2</v>
      </c>
    </row>
    <row r="7">
      <c r="A7" s="4" t="inlineStr">
        <is>
          <t>Main d'œuvre — base fixe (€)</t>
        </is>
      </c>
      <c r="B7" s="5" t="n">
        <v>30</v>
      </c>
    </row>
    <row r="8">
      <c r="A8" s="4" t="inlineStr">
        <is>
          <t>Main d'œuvre — taux (€/m²)</t>
        </is>
      </c>
      <c r="B8" s="5" t="n">
        <v>220</v>
      </c>
    </row>
    <row r="9">
      <c r="A9" s="4" t="inlineStr">
        <is>
          <t>Gravure — surface réf. texte (cm²)</t>
        </is>
      </c>
      <c r="B9" s="5" t="n">
        <v>30</v>
      </c>
    </row>
    <row r="10">
      <c r="A10" s="4" t="inlineStr">
        <is>
          <t>Gravure — surface réf. logo (cm²)</t>
        </is>
      </c>
      <c r="B10" s="5" t="n">
        <v>20</v>
      </c>
    </row>
    <row r="11">
      <c r="A11" s="4" t="inlineStr">
        <is>
          <t>Gravure — frais technique logo (€)</t>
        </is>
      </c>
      <c r="B11" s="5" t="n">
        <v>18</v>
      </c>
    </row>
    <row r="13">
      <c r="A13" s="7" t="inlineStr">
        <is>
          <t>Essences — prix bois (€/m³)</t>
        </is>
      </c>
      <c r="B13" s="8" t="n"/>
      <c r="C13" s="8" t="n"/>
      <c r="D13" s="8" t="n"/>
      <c r="E13" s="8" t="n"/>
      <c r="F13" s="8" t="n"/>
    </row>
    <row r="14">
      <c r="A14" s="9" t="inlineStr">
        <is>
          <t>Essence</t>
        </is>
      </c>
      <c r="B14" s="9" t="inlineStr">
        <is>
          <t>Prix / m³</t>
        </is>
      </c>
    </row>
    <row r="15">
      <c r="A15" s="10" t="inlineStr">
        <is>
          <t>Pin</t>
        </is>
      </c>
      <c r="B15" s="11" t="n">
        <v>900</v>
      </c>
    </row>
    <row r="16">
      <c r="A16" s="10" t="inlineStr">
        <is>
          <t>Peuplier</t>
        </is>
      </c>
      <c r="B16" s="11" t="n">
        <v>1100</v>
      </c>
    </row>
    <row r="17">
      <c r="A17" s="10" t="inlineStr">
        <is>
          <t>Chêne</t>
        </is>
      </c>
      <c r="B17" s="11" t="n">
        <v>2800</v>
      </c>
    </row>
    <row r="18">
      <c r="A18" s="10" t="inlineStr">
        <is>
          <t>Érable</t>
        </is>
      </c>
      <c r="B18" s="11" t="n">
        <v>3500</v>
      </c>
    </row>
    <row r="19">
      <c r="A19" s="10" t="inlineStr">
        <is>
          <t>Merisier</t>
        </is>
      </c>
      <c r="B19" s="11" t="n">
        <v>4200</v>
      </c>
    </row>
    <row r="20">
      <c r="A20" s="10" t="inlineStr">
        <is>
          <t>Noyer</t>
        </is>
      </c>
      <c r="B20" s="11" t="n">
        <v>6500</v>
      </c>
    </row>
    <row r="21">
      <c r="A21" s="10" t="inlineStr">
        <is>
          <t>Palissandre</t>
        </is>
      </c>
      <c r="B21" s="11" t="n">
        <v>22000</v>
      </c>
    </row>
    <row r="22">
      <c r="A22" s="10" t="inlineStr">
        <is>
          <t>Ébène</t>
        </is>
      </c>
      <c r="B22" s="11" t="n">
        <v>45000</v>
      </c>
    </row>
    <row r="24">
      <c r="A24" s="7" t="inlineStr">
        <is>
          <t>Finitions — base fixe + taux au m²</t>
        </is>
      </c>
      <c r="B24" s="8" t="n"/>
      <c r="C24" s="8" t="n"/>
      <c r="D24" s="8" t="n"/>
      <c r="E24" s="8" t="n"/>
      <c r="F24" s="8" t="n"/>
      <c r="G24" s="8" t="n"/>
    </row>
    <row r="25">
      <c r="A25" s="9" t="inlineStr">
        <is>
          <t>Finition</t>
        </is>
      </c>
      <c r="B25" s="9" t="inlineStr">
        <is>
          <t>Base (€)</t>
        </is>
      </c>
      <c r="C25" s="9" t="inlineStr">
        <is>
          <t>Taux (€/m²)</t>
        </is>
      </c>
    </row>
    <row r="26">
      <c r="A26" s="10" t="inlineStr">
        <is>
          <t>Brut</t>
        </is>
      </c>
      <c r="B26" s="11" t="n">
        <v>0</v>
      </c>
      <c r="C26" s="11" t="n">
        <v>0</v>
      </c>
    </row>
    <row r="27">
      <c r="A27" s="10" t="inlineStr">
        <is>
          <t>Vernis mat</t>
        </is>
      </c>
      <c r="B27" s="11" t="n">
        <v>8</v>
      </c>
      <c r="C27" s="11" t="n">
        <v>55</v>
      </c>
    </row>
    <row r="28">
      <c r="A28" s="10" t="inlineStr">
        <is>
          <t>Vernis brillant</t>
        </is>
      </c>
      <c r="B28" s="11" t="n">
        <v>12</v>
      </c>
      <c r="C28" s="11" t="n">
        <v>80</v>
      </c>
    </row>
    <row r="29">
      <c r="A29" s="10" t="inlineStr">
        <is>
          <t>Laque</t>
        </is>
      </c>
      <c r="B29" s="11" t="n">
        <v>18</v>
      </c>
      <c r="C29" s="11" t="n">
        <v>150</v>
      </c>
    </row>
    <row r="31">
      <c r="A31" s="7" t="inlineStr">
        <is>
          <t>Fermetures (univers Vins &amp; Coffret Cadeau) — prix (€)</t>
        </is>
      </c>
      <c r="B31" s="8" t="n"/>
      <c r="C31" s="8" t="n"/>
      <c r="D31" s="8" t="n"/>
      <c r="E31" s="8" t="n"/>
      <c r="F31" s="8" t="n"/>
    </row>
    <row r="32">
      <c r="A32" s="9" t="inlineStr">
        <is>
          <t>Fermeture</t>
        </is>
      </c>
      <c r="B32" s="9" t="inlineStr">
        <is>
          <t>Prix (€)</t>
        </is>
      </c>
    </row>
    <row r="33">
      <c r="A33" s="10" t="inlineStr">
        <is>
          <t>Charnières + fermeture magnétique invisible</t>
        </is>
      </c>
      <c r="B33" s="11" t="n">
        <v>14</v>
      </c>
    </row>
    <row r="34">
      <c r="A34" s="10" t="inlineStr">
        <is>
          <t>Charnières + loquet en laiton</t>
        </is>
      </c>
      <c r="B34" s="11" t="n">
        <v>16</v>
      </c>
    </row>
    <row r="35">
      <c r="A35" s="10" t="inlineStr">
        <is>
          <t>Couvercle coulissant</t>
        </is>
      </c>
      <c r="B35" s="11" t="n">
        <v>6</v>
      </c>
    </row>
    <row r="36">
      <c r="A36" s="10" t="inlineStr">
        <is>
          <t>Tiroir coulissant</t>
        </is>
      </c>
      <c r="B36" s="11" t="n">
        <v>20</v>
      </c>
    </row>
    <row r="37">
      <c r="A37" s="10" t="inlineStr">
        <is>
          <t>Couvercle amovible par emboîtement</t>
        </is>
      </c>
      <c r="B37" s="11" t="n">
        <v>4</v>
      </c>
    </row>
    <row r="39">
      <c r="A39" s="7" t="inlineStr">
        <is>
          <t>Intérieur — Cales (univers Vins) — prix forfaitaire (€)</t>
        </is>
      </c>
      <c r="B39" s="8" t="n"/>
      <c r="C39" s="8" t="n"/>
      <c r="D39" s="8" t="n"/>
      <c r="E39" s="8" t="n"/>
      <c r="F39" s="8" t="n"/>
    </row>
    <row r="40">
      <c r="A40" s="9" t="inlineStr">
        <is>
          <t>Cales</t>
        </is>
      </c>
      <c r="B40" s="9" t="inlineStr">
        <is>
          <t>Prix (€)</t>
        </is>
      </c>
    </row>
    <row r="41">
      <c r="A41" s="10" t="inlineStr">
        <is>
          <t>Bois</t>
        </is>
      </c>
      <c r="B41" s="11" t="n">
        <v>10</v>
      </c>
    </row>
    <row r="42">
      <c r="A42" s="10" t="inlineStr">
        <is>
          <t>Velours</t>
        </is>
      </c>
      <c r="B42" s="11" t="n">
        <v>25</v>
      </c>
    </row>
    <row r="44">
      <c r="A44" s="7" t="inlineStr">
        <is>
          <t>Doublure (univers Coffret Cadeau) — prix forfaitaire (€)</t>
        </is>
      </c>
      <c r="B44" s="8" t="n"/>
      <c r="C44" s="8" t="n"/>
      <c r="D44" s="8" t="n"/>
      <c r="E44" s="8" t="n"/>
      <c r="F44" s="8" t="n"/>
    </row>
    <row r="45">
      <c r="A45" s="9" t="inlineStr">
        <is>
          <t>Doublure</t>
        </is>
      </c>
      <c r="B45" s="9" t="inlineStr">
        <is>
          <t>Prix (€)</t>
        </is>
      </c>
    </row>
    <row r="46">
      <c r="A46" s="10" t="inlineStr">
        <is>
          <t>Aucune</t>
        </is>
      </c>
      <c r="B46" s="11" t="n">
        <v>0</v>
      </c>
    </row>
    <row r="47">
      <c r="A47" s="10" t="inlineStr">
        <is>
          <t>Velours</t>
        </is>
      </c>
      <c r="B47" s="11" t="n">
        <v>25</v>
      </c>
    </row>
    <row r="49">
      <c r="A49" s="7" t="inlineStr">
        <is>
          <t>Gravure — procédé (€/cm²)</t>
        </is>
      </c>
      <c r="B49" s="8" t="n"/>
      <c r="C49" s="8" t="n"/>
      <c r="D49" s="8" t="n"/>
      <c r="E49" s="8" t="n"/>
      <c r="F49" s="8" t="n"/>
    </row>
    <row r="50">
      <c r="A50" s="9" t="inlineStr">
        <is>
          <t>Procédé</t>
        </is>
      </c>
      <c r="B50" s="9" t="inlineStr">
        <is>
          <t>Prix / cm²</t>
        </is>
      </c>
    </row>
    <row r="51">
      <c r="A51" s="10" t="inlineStr">
        <is>
          <t>Aucune</t>
        </is>
      </c>
      <c r="B51" s="11" t="n">
        <v>0</v>
      </c>
    </row>
    <row r="52">
      <c r="A52" s="10" t="inlineStr">
        <is>
          <t>Gravure laser</t>
        </is>
      </c>
      <c r="B52" s="11" t="n">
        <v>1.2</v>
      </c>
    </row>
    <row r="53">
      <c r="A53" s="10" t="inlineStr">
        <is>
          <t>Gravure mécanique</t>
        </is>
      </c>
      <c r="B53" s="11" t="n">
        <v>1.8</v>
      </c>
    </row>
    <row r="54">
      <c r="A54" s="10" t="inlineStr">
        <is>
          <t>Sérigraphie</t>
        </is>
      </c>
      <c r="B54" s="11" t="n">
        <v>0.6</v>
      </c>
    </row>
    <row r="56">
      <c r="A56" s="7" t="inlineStr">
        <is>
          <t>Tailles standard — univers Vins (cm)</t>
        </is>
      </c>
      <c r="B56" s="8" t="n"/>
      <c r="C56" s="8" t="n"/>
      <c r="D56" s="8" t="n"/>
      <c r="E56" s="8" t="n"/>
      <c r="F56" s="8" t="n"/>
      <c r="G56" s="8" t="n"/>
      <c r="H56" s="8" t="n"/>
    </row>
    <row r="57">
      <c r="A57" s="9" t="inlineStr">
        <is>
          <t>Taille</t>
        </is>
      </c>
      <c r="B57" s="9" t="inlineStr">
        <is>
          <t>L</t>
        </is>
      </c>
      <c r="C57" s="9" t="inlineStr">
        <is>
          <t>l</t>
        </is>
      </c>
      <c r="D57" s="9" t="inlineStr">
        <is>
          <t>h</t>
        </is>
      </c>
    </row>
    <row r="58">
      <c r="A58" s="10" t="inlineStr">
        <is>
          <t>Bouteille standard</t>
        </is>
      </c>
      <c r="B58" s="10" t="n">
        <v>33</v>
      </c>
      <c r="C58" s="10" t="n">
        <v>9</v>
      </c>
      <c r="D58" s="10" t="n">
        <v>9</v>
      </c>
    </row>
    <row r="59">
      <c r="A59" s="10" t="inlineStr">
        <is>
          <t>Magnum</t>
        </is>
      </c>
      <c r="B59" s="10" t="n">
        <v>38</v>
      </c>
      <c r="C59" s="10" t="n">
        <v>12</v>
      </c>
      <c r="D59" s="10" t="n">
        <v>12</v>
      </c>
    </row>
    <row r="60">
      <c r="A60" s="10" t="inlineStr">
        <is>
          <t>Jéroboam</t>
        </is>
      </c>
      <c r="B60" s="10" t="n">
        <v>48</v>
      </c>
      <c r="C60" s="10" t="n">
        <v>16</v>
      </c>
      <c r="D60" s="10" t="n">
        <v>16</v>
      </c>
    </row>
    <row r="61">
      <c r="A61" s="10" t="inlineStr">
        <is>
          <t>Réhoboam</t>
        </is>
      </c>
      <c r="B61" s="10" t="n">
        <v>53</v>
      </c>
      <c r="C61" s="10" t="n">
        <v>18</v>
      </c>
      <c r="D61" s="10" t="n">
        <v>18</v>
      </c>
    </row>
    <row r="62">
      <c r="A62" s="10" t="inlineStr">
        <is>
          <t>Sur mesure...</t>
        </is>
      </c>
      <c r="B62" s="10" t="n"/>
      <c r="C62" s="10" t="n"/>
      <c r="D62" s="10" t="n"/>
    </row>
    <row r="64">
      <c r="A64" s="7" t="inlineStr">
        <is>
          <t>Tailles standard — univers Coffret Cadeau (cm)</t>
        </is>
      </c>
      <c r="B64" s="8" t="n"/>
      <c r="C64" s="8" t="n"/>
      <c r="D64" s="8" t="n"/>
      <c r="E64" s="8" t="n"/>
      <c r="F64" s="8" t="n"/>
      <c r="G64" s="8" t="n"/>
      <c r="H64" s="8" t="n"/>
    </row>
    <row r="65">
      <c r="A65" s="9" t="inlineStr">
        <is>
          <t>Taille</t>
        </is>
      </c>
      <c r="B65" s="9" t="inlineStr">
        <is>
          <t>L</t>
        </is>
      </c>
      <c r="C65" s="9" t="inlineStr">
        <is>
          <t>l</t>
        </is>
      </c>
      <c r="D65" s="9" t="inlineStr">
        <is>
          <t>h</t>
        </is>
      </c>
    </row>
    <row r="66">
      <c r="A66" s="10" t="inlineStr">
        <is>
          <t>Petit</t>
        </is>
      </c>
      <c r="B66" s="10" t="n">
        <v>20</v>
      </c>
      <c r="C66" s="10" t="n">
        <v>15</v>
      </c>
      <c r="D66" s="10" t="n">
        <v>8</v>
      </c>
    </row>
    <row r="67">
      <c r="A67" s="10" t="inlineStr">
        <is>
          <t>Moyen</t>
        </is>
      </c>
      <c r="B67" s="10" t="n">
        <v>30</v>
      </c>
      <c r="C67" s="10" t="n">
        <v>22</v>
      </c>
      <c r="D67" s="10" t="n">
        <v>12</v>
      </c>
    </row>
    <row r="68">
      <c r="A68" s="10" t="inlineStr">
        <is>
          <t>Grand</t>
        </is>
      </c>
      <c r="B68" s="10" t="n">
        <v>40</v>
      </c>
      <c r="C68" s="10" t="n">
        <v>30</v>
      </c>
      <c r="D68" s="10" t="n">
        <v>15</v>
      </c>
    </row>
    <row r="69">
      <c r="A69" s="10" t="inlineStr">
        <is>
          <t>Sur mesure...</t>
        </is>
      </c>
      <c r="B69" s="10" t="n"/>
      <c r="C69" s="10" t="n"/>
      <c r="D69" s="10" t="n"/>
    </row>
    <row r="71">
      <c r="A71" s="7" t="inlineStr">
        <is>
          <t>Sous-types — univers Joaillerie &amp; Horlogerie (cm)</t>
        </is>
      </c>
      <c r="B71" s="8" t="n"/>
      <c r="C71" s="8" t="n"/>
      <c r="D71" s="8" t="n"/>
      <c r="E71" s="8" t="n"/>
      <c r="F71" s="8" t="n"/>
      <c r="G71" s="8" t="n"/>
      <c r="H71" s="8" t="n"/>
    </row>
    <row r="72">
      <c r="A72" s="9" t="inlineStr">
        <is>
          <t>Sous-type</t>
        </is>
      </c>
      <c r="B72" s="9" t="inlineStr">
        <is>
          <t>L</t>
        </is>
      </c>
      <c r="C72" s="9" t="inlineStr">
        <is>
          <t>l</t>
        </is>
      </c>
      <c r="D72" s="9" t="inlineStr">
        <is>
          <t>h</t>
        </is>
      </c>
    </row>
    <row r="73">
      <c r="A73" s="10" t="inlineStr">
        <is>
          <t>Bague — Écrin classique à coussinet</t>
        </is>
      </c>
      <c r="B73" s="10" t="n">
        <v>9</v>
      </c>
      <c r="C73" s="10" t="n">
        <v>9</v>
      </c>
      <c r="D73" s="10" t="n">
        <v>6</v>
      </c>
    </row>
    <row r="74">
      <c r="A74" s="10" t="inlineStr">
        <is>
          <t>Boucles d'oreilles — Écrin à fentes</t>
        </is>
      </c>
      <c r="B74" s="10" t="n">
        <v>9</v>
      </c>
      <c r="C74" s="10" t="n">
        <v>9</v>
      </c>
      <c r="D74" s="10" t="n">
        <v>4</v>
      </c>
    </row>
    <row r="75">
      <c r="A75" s="10" t="inlineStr">
        <is>
          <t>Boucles d'oreilles — Écrin à coussinet avec crochets</t>
        </is>
      </c>
      <c r="B75" s="10" t="n">
        <v>9</v>
      </c>
      <c r="C75" s="10" t="n">
        <v>9</v>
      </c>
      <c r="D75" s="10" t="n">
        <v>6</v>
      </c>
    </row>
    <row r="76">
      <c r="A76" s="10" t="inlineStr">
        <is>
          <t>Boucles d'oreilles — Écrin plat velours</t>
        </is>
      </c>
      <c r="B76" s="10" t="n">
        <v>9</v>
      </c>
      <c r="C76" s="10" t="n">
        <v>9</v>
      </c>
      <c r="D76" s="10" t="n">
        <v>2.5</v>
      </c>
    </row>
    <row r="77">
      <c r="A77" s="10" t="inlineStr">
        <is>
          <t>Collier/Pendentif — Écrin allongé rectangulaire</t>
        </is>
      </c>
      <c r="B77" s="10" t="n">
        <v>22</v>
      </c>
      <c r="C77" s="10" t="n">
        <v>8</v>
      </c>
      <c r="D77" s="10" t="n">
        <v>4</v>
      </c>
    </row>
    <row r="78">
      <c r="A78" s="10" t="inlineStr">
        <is>
          <t>Collier/Pendentif — Écrin à pendentif seul</t>
        </is>
      </c>
      <c r="B78" s="10" t="n">
        <v>8</v>
      </c>
      <c r="C78" s="10" t="n">
        <v>8</v>
      </c>
      <c r="D78" s="10" t="n">
        <v>5</v>
      </c>
    </row>
    <row r="79">
      <c r="A79" s="10" t="inlineStr">
        <is>
          <t>Bracelet — Écrin allongé horizontal</t>
        </is>
      </c>
      <c r="B79" s="10" t="n">
        <v>20</v>
      </c>
      <c r="C79" s="10" t="n">
        <v>8</v>
      </c>
      <c r="D79" s="10" t="n">
        <v>5</v>
      </c>
    </row>
    <row r="80">
      <c r="A80" s="10" t="inlineStr">
        <is>
          <t>Bracelet — Écrin à bracelet rigide/manchette</t>
        </is>
      </c>
      <c r="B80" s="10" t="n">
        <v>20</v>
      </c>
      <c r="C80" s="10" t="n">
        <v>11</v>
      </c>
      <c r="D80" s="10" t="n">
        <v>9</v>
      </c>
    </row>
    <row r="81">
      <c r="A81" s="10" t="inlineStr">
        <is>
          <t>Parure — Écrin multi-niveaux</t>
        </is>
      </c>
      <c r="B81" s="10" t="n">
        <v>24</v>
      </c>
      <c r="C81" s="10" t="n">
        <v>17</v>
      </c>
      <c r="D81" s="10" t="n">
        <v>8</v>
      </c>
    </row>
    <row r="82">
      <c r="A82" s="10" t="inlineStr">
        <is>
          <t>Montre — Écrin à coussin fixe</t>
        </is>
      </c>
      <c r="B82" s="10" t="n">
        <v>11</v>
      </c>
      <c r="C82" s="10" t="n">
        <v>11</v>
      </c>
      <c r="D82" s="10" t="n">
        <v>9</v>
      </c>
    </row>
    <row r="83">
      <c r="A83" s="10" t="inlineStr">
        <is>
          <t>Montre — Écrin à socle rigide</t>
        </is>
      </c>
      <c r="B83" s="10" t="n">
        <v>11</v>
      </c>
      <c r="C83" s="10" t="n">
        <v>11</v>
      </c>
      <c r="D83" s="10" t="n">
        <v>10</v>
      </c>
    </row>
    <row r="84">
      <c r="A84" s="10" t="inlineStr">
        <is>
          <t>Montre — Écrin coulissant / tiroir</t>
        </is>
      </c>
      <c r="B84" s="10" t="n">
        <v>13</v>
      </c>
      <c r="C84" s="10" t="n">
        <v>12</v>
      </c>
      <c r="D84" s="10" t="n">
        <v>8</v>
      </c>
    </row>
    <row r="85">
      <c r="A85" s="10" t="inlineStr">
        <is>
          <t>Montre — Écrin à fenêtre</t>
        </is>
      </c>
      <c r="B85" s="10" t="n">
        <v>12</v>
      </c>
      <c r="C85" s="10" t="n">
        <v>12</v>
      </c>
      <c r="D85" s="10" t="n">
        <v>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7"/>
  <sheetViews>
    <sheetView showGridLines="0" zoomScale="90" workbookViewId="0">
      <pane xSplit="14" ySplit="1" topLeftCell="O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11" customWidth="1" min="3" max="3"/>
    <col width="11" customWidth="1" min="4" max="4"/>
    <col width="11" customWidth="1" min="5" max="5"/>
    <col width="13" customWidth="1" min="6" max="6"/>
    <col width="14" customWidth="1" min="7" max="7"/>
    <col width="30" customWidth="1" min="8" max="8"/>
    <col width="14" customWidth="1" min="9" max="9"/>
    <col width="18" customWidth="1" min="10" max="10"/>
    <col width="12" customWidth="1" min="11" max="11"/>
    <col width="12" customWidth="1" min="12" max="12"/>
    <col width="10"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4" customWidth="1" min="22" max="22"/>
    <col width="12" customWidth="1" min="23" max="23"/>
    <col width="12" customWidth="1" min="24" max="24"/>
    <col width="13" customWidth="1" min="25" max="25"/>
    <col width="15" customWidth="1" min="26" max="26"/>
    <col width="15" customWidth="1" min="27" max="27"/>
    <col width="15" customWidth="1" min="28" max="28"/>
    <col width="12" customWidth="1" min="29" max="29"/>
    <col width="13" customWidth="1" min="30" max="30"/>
  </cols>
  <sheetData>
    <row r="1" ht="42" customHeight="1">
      <c r="A1" s="12" t="inlineStr">
        <is>
          <t>Désignation (repère libre)</t>
        </is>
      </c>
      <c r="B1" s="12" t="inlineStr">
        <is>
          <t>Taille</t>
        </is>
      </c>
      <c r="C1" s="12" t="inlineStr">
        <is>
          <t>L manuel (cm)</t>
        </is>
      </c>
      <c r="D1" s="12" t="inlineStr">
        <is>
          <t>l manuel (cm)</t>
        </is>
      </c>
      <c r="E1" s="12" t="inlineStr">
        <is>
          <t>h manuel (cm)</t>
        </is>
      </c>
      <c r="F1" s="12" t="inlineStr">
        <is>
          <t>Essence</t>
        </is>
      </c>
      <c r="G1" s="12" t="inlineStr">
        <is>
          <t>Finition</t>
        </is>
      </c>
      <c r="H1" s="12" t="inlineStr">
        <is>
          <t>Fermeture</t>
        </is>
      </c>
      <c r="I1" s="12" t="inlineStr">
        <is>
          <t>Cales / intérieur</t>
        </is>
      </c>
      <c r="J1" s="12" t="inlineStr">
        <is>
          <t>Gravure — procédé</t>
        </is>
      </c>
      <c r="K1" s="12" t="inlineStr">
        <is>
          <t>Gravure — mode</t>
        </is>
      </c>
      <c r="L1" s="12" t="inlineStr">
        <is>
          <t>Gravure — taille curseur (%)</t>
        </is>
      </c>
      <c r="M1" s="12" t="inlineStr">
        <is>
          <t>Quantité</t>
        </is>
      </c>
      <c r="N1" s="12" t="inlineStr">
        <is>
          <t>Client B2B ?</t>
        </is>
      </c>
      <c r="O1" s="13" t="inlineStr">
        <is>
          <t>L retenue (cm)</t>
        </is>
      </c>
      <c r="P1" s="13" t="inlineStr">
        <is>
          <t>l retenue (cm)</t>
        </is>
      </c>
      <c r="Q1" s="13" t="inlineStr">
        <is>
          <t>h retenue (cm)</t>
        </is>
      </c>
      <c r="R1" s="13" t="inlineStr">
        <is>
          <t>Surface développée (m²)</t>
        </is>
      </c>
      <c r="S1" s="13" t="inlineStr">
        <is>
          <t>Volume bois (m³)</t>
        </is>
      </c>
      <c r="T1" s="13" t="inlineStr">
        <is>
          <t>Prix matière (€)</t>
        </is>
      </c>
      <c r="U1" s="13" t="inlineStr">
        <is>
          <t>Prix finition (€)</t>
        </is>
      </c>
      <c r="V1" s="13" t="inlineStr">
        <is>
          <t>Prix quincaillerie (€)</t>
        </is>
      </c>
      <c r="W1" s="13" t="inlineStr">
        <is>
          <t>Prix cales (€)</t>
        </is>
      </c>
      <c r="X1" s="13" t="inlineStr">
        <is>
          <t>Prix gravure (€)</t>
        </is>
      </c>
      <c r="Y1" s="13" t="inlineStr">
        <is>
          <t>Main d'œuvre (€)</t>
        </is>
      </c>
      <c r="Z1" s="13" t="inlineStr">
        <is>
          <t>Prix unitaire HT avant remise (€)</t>
        </is>
      </c>
      <c r="AA1" s="13" t="inlineStr">
        <is>
          <t>Remise B2B appliquée</t>
        </is>
      </c>
      <c r="AB1" s="13" t="inlineStr">
        <is>
          <t>Prix unitaire HT après remise (€)</t>
        </is>
      </c>
      <c r="AC1" s="13" t="inlineStr">
        <is>
          <t>Total HT ligne (€)</t>
        </is>
      </c>
      <c r="AD1" s="13" t="inlineStr">
        <is>
          <t>Total TTC ligne (€)</t>
        </is>
      </c>
    </row>
    <row r="2">
      <c r="M2" t="n">
        <v>1</v>
      </c>
      <c r="N2" t="inlineStr">
        <is>
          <t>Non</t>
        </is>
      </c>
      <c r="O2" s="14">
        <f>IF(B2="","",IF(B2="Sur mesure...",C2,VLOOKUP(B2,TailleVinsTable,2,FALSE)))</f>
        <v/>
      </c>
      <c r="P2" s="14">
        <f>IF(B2="","",IF(B2="Sur mesure...",D2,VLOOKUP(B2,TailleVinsTable,3,FALSE)))</f>
        <v/>
      </c>
      <c r="Q2" s="14">
        <f>IF(B2="","",IF(B2="Sur mesure...",E2,VLOOKUP(B2,TailleVinsTable,4,FALSE)))</f>
        <v/>
      </c>
      <c r="R2" s="15">
        <f>IF(B2="","",2*((O2*P2)+(O2*Q2)+(P2*Q2))/10000)</f>
        <v/>
      </c>
      <c r="S2" s="16">
        <f>IF(B2="","",R2*EpaisseurPanneau)</f>
        <v/>
      </c>
      <c r="T2" s="17">
        <f>IF(B2="","",S2*IFERROR(VLOOKUP(F2,EssenceTable,2,FALSE),0))</f>
        <v/>
      </c>
      <c r="U2" s="17">
        <f>IF(B2="","",IFERROR(VLOOKUP(G2,FinitionTable,2,FALSE),0)+R2*IFERROR(VLOOKUP(G2,FinitionTable,3,FALSE),0))</f>
        <v/>
      </c>
      <c r="V2" s="17">
        <f>IF(B2="","",IFERROR(VLOOKUP(H2,FermetureTable,2,FALSE),0))</f>
        <v/>
      </c>
      <c r="W2" s="17">
        <f>IF(B2="","",IFERROR(VLOOKUP(I2,CalesTable,2,FALSE),0))</f>
        <v/>
      </c>
      <c r="X2" s="17">
        <f>IF(B2="","",IF(OR(J2="",J2="Aucune"),0,(IF(K2="image",GravureSurfImage,GravureSurfTexte)*(IF(L2="",100,L2)/100)^2)*IFERROR(VLOOKUP(J2,GravureProcedeTable,2,FALSE),0)+IF(K2="image",FraisLogo,0)))</f>
        <v/>
      </c>
      <c r="Y2" s="17">
        <f>IF(B2="","",MainOeuvreBase+R2*MainOeuvreTaux)</f>
        <v/>
      </c>
      <c r="Z2" s="17">
        <f>IF(B2="","",SUM(T2:Y2))</f>
        <v/>
      </c>
      <c r="AA2" s="17">
        <f>IF(B2="","",IF(AND(N2="Oui",M2&gt;=SeuilB2B),"Oui (-"&amp;TauxRemiseB2B*100&amp;"%)","Non"))</f>
        <v/>
      </c>
      <c r="AB2" s="17">
        <f>IF(B2="","",IF(AND(N2="Oui",M2&gt;=SeuilB2B),Z2*(1-TauxRemiseB2B),Z2))</f>
        <v/>
      </c>
      <c r="AC2" s="17">
        <f>IF(B2="","",AB2*M2)</f>
        <v/>
      </c>
      <c r="AD2" s="17">
        <f>IF(B2="","",AC2*(1+TauxTVA))</f>
        <v/>
      </c>
    </row>
    <row r="3">
      <c r="M3" t="n">
        <v>1</v>
      </c>
      <c r="N3" t="inlineStr">
        <is>
          <t>Non</t>
        </is>
      </c>
      <c r="O3" s="14">
        <f>IF(B3="","",IF(B3="Sur mesure...",C3,VLOOKUP(B3,TailleVinsTable,2,FALSE)))</f>
        <v/>
      </c>
      <c r="P3" s="14">
        <f>IF(B3="","",IF(B3="Sur mesure...",D3,VLOOKUP(B3,TailleVinsTable,3,FALSE)))</f>
        <v/>
      </c>
      <c r="Q3" s="14">
        <f>IF(B3="","",IF(B3="Sur mesure...",E3,VLOOKUP(B3,TailleVinsTable,4,FALSE)))</f>
        <v/>
      </c>
      <c r="R3" s="15">
        <f>IF(B3="","",2*((O3*P3)+(O3*Q3)+(P3*Q3))/10000)</f>
        <v/>
      </c>
      <c r="S3" s="16">
        <f>IF(B3="","",R3*EpaisseurPanneau)</f>
        <v/>
      </c>
      <c r="T3" s="17">
        <f>IF(B3="","",S3*IFERROR(VLOOKUP(F3,EssenceTable,2,FALSE),0))</f>
        <v/>
      </c>
      <c r="U3" s="17">
        <f>IF(B3="","",IFERROR(VLOOKUP(G3,FinitionTable,2,FALSE),0)+R3*IFERROR(VLOOKUP(G3,FinitionTable,3,FALSE),0))</f>
        <v/>
      </c>
      <c r="V3" s="17">
        <f>IF(B3="","",IFERROR(VLOOKUP(H3,FermetureTable,2,FALSE),0))</f>
        <v/>
      </c>
      <c r="W3" s="17">
        <f>IF(B3="","",IFERROR(VLOOKUP(I3,CalesTable,2,FALSE),0))</f>
        <v/>
      </c>
      <c r="X3" s="17">
        <f>IF(B3="","",IF(OR(J3="",J3="Aucune"),0,(IF(K3="image",GravureSurfImage,GravureSurfTexte)*(IF(L3="",100,L3)/100)^2)*IFERROR(VLOOKUP(J3,GravureProcedeTable,2,FALSE),0)+IF(K3="image",FraisLogo,0)))</f>
        <v/>
      </c>
      <c r="Y3" s="17">
        <f>IF(B3="","",MainOeuvreBase+R3*MainOeuvreTaux)</f>
        <v/>
      </c>
      <c r="Z3" s="17">
        <f>IF(B3="","",SUM(T3:Y3))</f>
        <v/>
      </c>
      <c r="AA3" s="17">
        <f>IF(B3="","",IF(AND(N3="Oui",M3&gt;=SeuilB2B),"Oui (-"&amp;TauxRemiseB2B*100&amp;"%)","Non"))</f>
        <v/>
      </c>
      <c r="AB3" s="17">
        <f>IF(B3="","",IF(AND(N3="Oui",M3&gt;=SeuilB2B),Z3*(1-TauxRemiseB2B),Z3))</f>
        <v/>
      </c>
      <c r="AC3" s="17">
        <f>IF(B3="","",AB3*M3)</f>
        <v/>
      </c>
      <c r="AD3" s="17">
        <f>IF(B3="","",AC3*(1+TauxTVA))</f>
        <v/>
      </c>
    </row>
    <row r="4">
      <c r="M4" t="n">
        <v>1</v>
      </c>
      <c r="N4" t="inlineStr">
        <is>
          <t>Non</t>
        </is>
      </c>
      <c r="O4" s="14">
        <f>IF(B4="","",IF(B4="Sur mesure...",C4,VLOOKUP(B4,TailleVinsTable,2,FALSE)))</f>
        <v/>
      </c>
      <c r="P4" s="14">
        <f>IF(B4="","",IF(B4="Sur mesure...",D4,VLOOKUP(B4,TailleVinsTable,3,FALSE)))</f>
        <v/>
      </c>
      <c r="Q4" s="14">
        <f>IF(B4="","",IF(B4="Sur mesure...",E4,VLOOKUP(B4,TailleVinsTable,4,FALSE)))</f>
        <v/>
      </c>
      <c r="R4" s="15">
        <f>IF(B4="","",2*((O4*P4)+(O4*Q4)+(P4*Q4))/10000)</f>
        <v/>
      </c>
      <c r="S4" s="16">
        <f>IF(B4="","",R4*EpaisseurPanneau)</f>
        <v/>
      </c>
      <c r="T4" s="17">
        <f>IF(B4="","",S4*IFERROR(VLOOKUP(F4,EssenceTable,2,FALSE),0))</f>
        <v/>
      </c>
      <c r="U4" s="17">
        <f>IF(B4="","",IFERROR(VLOOKUP(G4,FinitionTable,2,FALSE),0)+R4*IFERROR(VLOOKUP(G4,FinitionTable,3,FALSE),0))</f>
        <v/>
      </c>
      <c r="V4" s="17">
        <f>IF(B4="","",IFERROR(VLOOKUP(H4,FermetureTable,2,FALSE),0))</f>
        <v/>
      </c>
      <c r="W4" s="17">
        <f>IF(B4="","",IFERROR(VLOOKUP(I4,CalesTable,2,FALSE),0))</f>
        <v/>
      </c>
      <c r="X4" s="17">
        <f>IF(B4="","",IF(OR(J4="",J4="Aucune"),0,(IF(K4="image",GravureSurfImage,GravureSurfTexte)*(IF(L4="",100,L4)/100)^2)*IFERROR(VLOOKUP(J4,GravureProcedeTable,2,FALSE),0)+IF(K4="image",FraisLogo,0)))</f>
        <v/>
      </c>
      <c r="Y4" s="17">
        <f>IF(B4="","",MainOeuvreBase+R4*MainOeuvreTaux)</f>
        <v/>
      </c>
      <c r="Z4" s="17">
        <f>IF(B4="","",SUM(T4:Y4))</f>
        <v/>
      </c>
      <c r="AA4" s="17">
        <f>IF(B4="","",IF(AND(N4="Oui",M4&gt;=SeuilB2B),"Oui (-"&amp;TauxRemiseB2B*100&amp;"%)","Non"))</f>
        <v/>
      </c>
      <c r="AB4" s="17">
        <f>IF(B4="","",IF(AND(N4="Oui",M4&gt;=SeuilB2B),Z4*(1-TauxRemiseB2B),Z4))</f>
        <v/>
      </c>
      <c r="AC4" s="17">
        <f>IF(B4="","",AB4*M4)</f>
        <v/>
      </c>
      <c r="AD4" s="17">
        <f>IF(B4="","",AC4*(1+TauxTVA))</f>
        <v/>
      </c>
    </row>
    <row r="5">
      <c r="M5" t="n">
        <v>1</v>
      </c>
      <c r="N5" t="inlineStr">
        <is>
          <t>Non</t>
        </is>
      </c>
      <c r="O5" s="14">
        <f>IF(B5="","",IF(B5="Sur mesure...",C5,VLOOKUP(B5,TailleVinsTable,2,FALSE)))</f>
        <v/>
      </c>
      <c r="P5" s="14">
        <f>IF(B5="","",IF(B5="Sur mesure...",D5,VLOOKUP(B5,TailleVinsTable,3,FALSE)))</f>
        <v/>
      </c>
      <c r="Q5" s="14">
        <f>IF(B5="","",IF(B5="Sur mesure...",E5,VLOOKUP(B5,TailleVinsTable,4,FALSE)))</f>
        <v/>
      </c>
      <c r="R5" s="15">
        <f>IF(B5="","",2*((O5*P5)+(O5*Q5)+(P5*Q5))/10000)</f>
        <v/>
      </c>
      <c r="S5" s="16">
        <f>IF(B5="","",R5*EpaisseurPanneau)</f>
        <v/>
      </c>
      <c r="T5" s="17">
        <f>IF(B5="","",S5*IFERROR(VLOOKUP(F5,EssenceTable,2,FALSE),0))</f>
        <v/>
      </c>
      <c r="U5" s="17">
        <f>IF(B5="","",IFERROR(VLOOKUP(G5,FinitionTable,2,FALSE),0)+R5*IFERROR(VLOOKUP(G5,FinitionTable,3,FALSE),0))</f>
        <v/>
      </c>
      <c r="V5" s="17">
        <f>IF(B5="","",IFERROR(VLOOKUP(H5,FermetureTable,2,FALSE),0))</f>
        <v/>
      </c>
      <c r="W5" s="17">
        <f>IF(B5="","",IFERROR(VLOOKUP(I5,CalesTable,2,FALSE),0))</f>
        <v/>
      </c>
      <c r="X5" s="17">
        <f>IF(B5="","",IF(OR(J5="",J5="Aucune"),0,(IF(K5="image",GravureSurfImage,GravureSurfTexte)*(IF(L5="",100,L5)/100)^2)*IFERROR(VLOOKUP(J5,GravureProcedeTable,2,FALSE),0)+IF(K5="image",FraisLogo,0)))</f>
        <v/>
      </c>
      <c r="Y5" s="17">
        <f>IF(B5="","",MainOeuvreBase+R5*MainOeuvreTaux)</f>
        <v/>
      </c>
      <c r="Z5" s="17">
        <f>IF(B5="","",SUM(T5:Y5))</f>
        <v/>
      </c>
      <c r="AA5" s="17">
        <f>IF(B5="","",IF(AND(N5="Oui",M5&gt;=SeuilB2B),"Oui (-"&amp;TauxRemiseB2B*100&amp;"%)","Non"))</f>
        <v/>
      </c>
      <c r="AB5" s="17">
        <f>IF(B5="","",IF(AND(N5="Oui",M5&gt;=SeuilB2B),Z5*(1-TauxRemiseB2B),Z5))</f>
        <v/>
      </c>
      <c r="AC5" s="17">
        <f>IF(B5="","",AB5*M5)</f>
        <v/>
      </c>
      <c r="AD5" s="17">
        <f>IF(B5="","",AC5*(1+TauxTVA))</f>
        <v/>
      </c>
    </row>
    <row r="6">
      <c r="M6" t="n">
        <v>1</v>
      </c>
      <c r="N6" t="inlineStr">
        <is>
          <t>Non</t>
        </is>
      </c>
      <c r="O6" s="14">
        <f>IF(B6="","",IF(B6="Sur mesure...",C6,VLOOKUP(B6,TailleVinsTable,2,FALSE)))</f>
        <v/>
      </c>
      <c r="P6" s="14">
        <f>IF(B6="","",IF(B6="Sur mesure...",D6,VLOOKUP(B6,TailleVinsTable,3,FALSE)))</f>
        <v/>
      </c>
      <c r="Q6" s="14">
        <f>IF(B6="","",IF(B6="Sur mesure...",E6,VLOOKUP(B6,TailleVinsTable,4,FALSE)))</f>
        <v/>
      </c>
      <c r="R6" s="15">
        <f>IF(B6="","",2*((O6*P6)+(O6*Q6)+(P6*Q6))/10000)</f>
        <v/>
      </c>
      <c r="S6" s="16">
        <f>IF(B6="","",R6*EpaisseurPanneau)</f>
        <v/>
      </c>
      <c r="T6" s="17">
        <f>IF(B6="","",S6*IFERROR(VLOOKUP(F6,EssenceTable,2,FALSE),0))</f>
        <v/>
      </c>
      <c r="U6" s="17">
        <f>IF(B6="","",IFERROR(VLOOKUP(G6,FinitionTable,2,FALSE),0)+R6*IFERROR(VLOOKUP(G6,FinitionTable,3,FALSE),0))</f>
        <v/>
      </c>
      <c r="V6" s="17">
        <f>IF(B6="","",IFERROR(VLOOKUP(H6,FermetureTable,2,FALSE),0))</f>
        <v/>
      </c>
      <c r="W6" s="17">
        <f>IF(B6="","",IFERROR(VLOOKUP(I6,CalesTable,2,FALSE),0))</f>
        <v/>
      </c>
      <c r="X6" s="17">
        <f>IF(B6="","",IF(OR(J6="",J6="Aucune"),0,(IF(K6="image",GravureSurfImage,GravureSurfTexte)*(IF(L6="",100,L6)/100)^2)*IFERROR(VLOOKUP(J6,GravureProcedeTable,2,FALSE),0)+IF(K6="image",FraisLogo,0)))</f>
        <v/>
      </c>
      <c r="Y6" s="17">
        <f>IF(B6="","",MainOeuvreBase+R6*MainOeuvreTaux)</f>
        <v/>
      </c>
      <c r="Z6" s="17">
        <f>IF(B6="","",SUM(T6:Y6))</f>
        <v/>
      </c>
      <c r="AA6" s="17">
        <f>IF(B6="","",IF(AND(N6="Oui",M6&gt;=SeuilB2B),"Oui (-"&amp;TauxRemiseB2B*100&amp;"%)","Non"))</f>
        <v/>
      </c>
      <c r="AB6" s="17">
        <f>IF(B6="","",IF(AND(N6="Oui",M6&gt;=SeuilB2B),Z6*(1-TauxRemiseB2B),Z6))</f>
        <v/>
      </c>
      <c r="AC6" s="17">
        <f>IF(B6="","",AB6*M6)</f>
        <v/>
      </c>
      <c r="AD6" s="17">
        <f>IF(B6="","",AC6*(1+TauxTVA))</f>
        <v/>
      </c>
    </row>
    <row r="7">
      <c r="M7" t="n">
        <v>1</v>
      </c>
      <c r="N7" t="inlineStr">
        <is>
          <t>Non</t>
        </is>
      </c>
      <c r="O7" s="14">
        <f>IF(B7="","",IF(B7="Sur mesure...",C7,VLOOKUP(B7,TailleVinsTable,2,FALSE)))</f>
        <v/>
      </c>
      <c r="P7" s="14">
        <f>IF(B7="","",IF(B7="Sur mesure...",D7,VLOOKUP(B7,TailleVinsTable,3,FALSE)))</f>
        <v/>
      </c>
      <c r="Q7" s="14">
        <f>IF(B7="","",IF(B7="Sur mesure...",E7,VLOOKUP(B7,TailleVinsTable,4,FALSE)))</f>
        <v/>
      </c>
      <c r="R7" s="15">
        <f>IF(B7="","",2*((O7*P7)+(O7*Q7)+(P7*Q7))/10000)</f>
        <v/>
      </c>
      <c r="S7" s="16">
        <f>IF(B7="","",R7*EpaisseurPanneau)</f>
        <v/>
      </c>
      <c r="T7" s="17">
        <f>IF(B7="","",S7*IFERROR(VLOOKUP(F7,EssenceTable,2,FALSE),0))</f>
        <v/>
      </c>
      <c r="U7" s="17">
        <f>IF(B7="","",IFERROR(VLOOKUP(G7,FinitionTable,2,FALSE),0)+R7*IFERROR(VLOOKUP(G7,FinitionTable,3,FALSE),0))</f>
        <v/>
      </c>
      <c r="V7" s="17">
        <f>IF(B7="","",IFERROR(VLOOKUP(H7,FermetureTable,2,FALSE),0))</f>
        <v/>
      </c>
      <c r="W7" s="17">
        <f>IF(B7="","",IFERROR(VLOOKUP(I7,CalesTable,2,FALSE),0))</f>
        <v/>
      </c>
      <c r="X7" s="17">
        <f>IF(B7="","",IF(OR(J7="",J7="Aucune"),0,(IF(K7="image",GravureSurfImage,GravureSurfTexte)*(IF(L7="",100,L7)/100)^2)*IFERROR(VLOOKUP(J7,GravureProcedeTable,2,FALSE),0)+IF(K7="image",FraisLogo,0)))</f>
        <v/>
      </c>
      <c r="Y7" s="17">
        <f>IF(B7="","",MainOeuvreBase+R7*MainOeuvreTaux)</f>
        <v/>
      </c>
      <c r="Z7" s="17">
        <f>IF(B7="","",SUM(T7:Y7))</f>
        <v/>
      </c>
      <c r="AA7" s="17">
        <f>IF(B7="","",IF(AND(N7="Oui",M7&gt;=SeuilB2B),"Oui (-"&amp;TauxRemiseB2B*100&amp;"%)","Non"))</f>
        <v/>
      </c>
      <c r="AB7" s="17">
        <f>IF(B7="","",IF(AND(N7="Oui",M7&gt;=SeuilB2B),Z7*(1-TauxRemiseB2B),Z7))</f>
        <v/>
      </c>
      <c r="AC7" s="17">
        <f>IF(B7="","",AB7*M7)</f>
        <v/>
      </c>
      <c r="AD7" s="17">
        <f>IF(B7="","",AC7*(1+TauxTVA))</f>
        <v/>
      </c>
    </row>
    <row r="8">
      <c r="M8" t="n">
        <v>1</v>
      </c>
      <c r="N8" t="inlineStr">
        <is>
          <t>Non</t>
        </is>
      </c>
      <c r="O8" s="14">
        <f>IF(B8="","",IF(B8="Sur mesure...",C8,VLOOKUP(B8,TailleVinsTable,2,FALSE)))</f>
        <v/>
      </c>
      <c r="P8" s="14">
        <f>IF(B8="","",IF(B8="Sur mesure...",D8,VLOOKUP(B8,TailleVinsTable,3,FALSE)))</f>
        <v/>
      </c>
      <c r="Q8" s="14">
        <f>IF(B8="","",IF(B8="Sur mesure...",E8,VLOOKUP(B8,TailleVinsTable,4,FALSE)))</f>
        <v/>
      </c>
      <c r="R8" s="15">
        <f>IF(B8="","",2*((O8*P8)+(O8*Q8)+(P8*Q8))/10000)</f>
        <v/>
      </c>
      <c r="S8" s="16">
        <f>IF(B8="","",R8*EpaisseurPanneau)</f>
        <v/>
      </c>
      <c r="T8" s="17">
        <f>IF(B8="","",S8*IFERROR(VLOOKUP(F8,EssenceTable,2,FALSE),0))</f>
        <v/>
      </c>
      <c r="U8" s="17">
        <f>IF(B8="","",IFERROR(VLOOKUP(G8,FinitionTable,2,FALSE),0)+R8*IFERROR(VLOOKUP(G8,FinitionTable,3,FALSE),0))</f>
        <v/>
      </c>
      <c r="V8" s="17">
        <f>IF(B8="","",IFERROR(VLOOKUP(H8,FermetureTable,2,FALSE),0))</f>
        <v/>
      </c>
      <c r="W8" s="17">
        <f>IF(B8="","",IFERROR(VLOOKUP(I8,CalesTable,2,FALSE),0))</f>
        <v/>
      </c>
      <c r="X8" s="17">
        <f>IF(B8="","",IF(OR(J8="",J8="Aucune"),0,(IF(K8="image",GravureSurfImage,GravureSurfTexte)*(IF(L8="",100,L8)/100)^2)*IFERROR(VLOOKUP(J8,GravureProcedeTable,2,FALSE),0)+IF(K8="image",FraisLogo,0)))</f>
        <v/>
      </c>
      <c r="Y8" s="17">
        <f>IF(B8="","",MainOeuvreBase+R8*MainOeuvreTaux)</f>
        <v/>
      </c>
      <c r="Z8" s="17">
        <f>IF(B8="","",SUM(T8:Y8))</f>
        <v/>
      </c>
      <c r="AA8" s="17">
        <f>IF(B8="","",IF(AND(N8="Oui",M8&gt;=SeuilB2B),"Oui (-"&amp;TauxRemiseB2B*100&amp;"%)","Non"))</f>
        <v/>
      </c>
      <c r="AB8" s="17">
        <f>IF(B8="","",IF(AND(N8="Oui",M8&gt;=SeuilB2B),Z8*(1-TauxRemiseB2B),Z8))</f>
        <v/>
      </c>
      <c r="AC8" s="17">
        <f>IF(B8="","",AB8*M8)</f>
        <v/>
      </c>
      <c r="AD8" s="17">
        <f>IF(B8="","",AC8*(1+TauxTVA))</f>
        <v/>
      </c>
    </row>
    <row r="9">
      <c r="M9" t="n">
        <v>1</v>
      </c>
      <c r="N9" t="inlineStr">
        <is>
          <t>Non</t>
        </is>
      </c>
      <c r="O9" s="14">
        <f>IF(B9="","",IF(B9="Sur mesure...",C9,VLOOKUP(B9,TailleVinsTable,2,FALSE)))</f>
        <v/>
      </c>
      <c r="P9" s="14">
        <f>IF(B9="","",IF(B9="Sur mesure...",D9,VLOOKUP(B9,TailleVinsTable,3,FALSE)))</f>
        <v/>
      </c>
      <c r="Q9" s="14">
        <f>IF(B9="","",IF(B9="Sur mesure...",E9,VLOOKUP(B9,TailleVinsTable,4,FALSE)))</f>
        <v/>
      </c>
      <c r="R9" s="15">
        <f>IF(B9="","",2*((O9*P9)+(O9*Q9)+(P9*Q9))/10000)</f>
        <v/>
      </c>
      <c r="S9" s="16">
        <f>IF(B9="","",R9*EpaisseurPanneau)</f>
        <v/>
      </c>
      <c r="T9" s="17">
        <f>IF(B9="","",S9*IFERROR(VLOOKUP(F9,EssenceTable,2,FALSE),0))</f>
        <v/>
      </c>
      <c r="U9" s="17">
        <f>IF(B9="","",IFERROR(VLOOKUP(G9,FinitionTable,2,FALSE),0)+R9*IFERROR(VLOOKUP(G9,FinitionTable,3,FALSE),0))</f>
        <v/>
      </c>
      <c r="V9" s="17">
        <f>IF(B9="","",IFERROR(VLOOKUP(H9,FermetureTable,2,FALSE),0))</f>
        <v/>
      </c>
      <c r="W9" s="17">
        <f>IF(B9="","",IFERROR(VLOOKUP(I9,CalesTable,2,FALSE),0))</f>
        <v/>
      </c>
      <c r="X9" s="17">
        <f>IF(B9="","",IF(OR(J9="",J9="Aucune"),0,(IF(K9="image",GravureSurfImage,GravureSurfTexte)*(IF(L9="",100,L9)/100)^2)*IFERROR(VLOOKUP(J9,GravureProcedeTable,2,FALSE),0)+IF(K9="image",FraisLogo,0)))</f>
        <v/>
      </c>
      <c r="Y9" s="17">
        <f>IF(B9="","",MainOeuvreBase+R9*MainOeuvreTaux)</f>
        <v/>
      </c>
      <c r="Z9" s="17">
        <f>IF(B9="","",SUM(T9:Y9))</f>
        <v/>
      </c>
      <c r="AA9" s="17">
        <f>IF(B9="","",IF(AND(N9="Oui",M9&gt;=SeuilB2B),"Oui (-"&amp;TauxRemiseB2B*100&amp;"%)","Non"))</f>
        <v/>
      </c>
      <c r="AB9" s="17">
        <f>IF(B9="","",IF(AND(N9="Oui",M9&gt;=SeuilB2B),Z9*(1-TauxRemiseB2B),Z9))</f>
        <v/>
      </c>
      <c r="AC9" s="17">
        <f>IF(B9="","",AB9*M9)</f>
        <v/>
      </c>
      <c r="AD9" s="17">
        <f>IF(B9="","",AC9*(1+TauxTVA))</f>
        <v/>
      </c>
    </row>
    <row r="10">
      <c r="M10" t="n">
        <v>1</v>
      </c>
      <c r="N10" t="inlineStr">
        <is>
          <t>Non</t>
        </is>
      </c>
      <c r="O10" s="14">
        <f>IF(B10="","",IF(B10="Sur mesure...",C10,VLOOKUP(B10,TailleVinsTable,2,FALSE)))</f>
        <v/>
      </c>
      <c r="P10" s="14">
        <f>IF(B10="","",IF(B10="Sur mesure...",D10,VLOOKUP(B10,TailleVinsTable,3,FALSE)))</f>
        <v/>
      </c>
      <c r="Q10" s="14">
        <f>IF(B10="","",IF(B10="Sur mesure...",E10,VLOOKUP(B10,TailleVinsTable,4,FALSE)))</f>
        <v/>
      </c>
      <c r="R10" s="15">
        <f>IF(B10="","",2*((O10*P10)+(O10*Q10)+(P10*Q10))/10000)</f>
        <v/>
      </c>
      <c r="S10" s="16">
        <f>IF(B10="","",R10*EpaisseurPanneau)</f>
        <v/>
      </c>
      <c r="T10" s="17">
        <f>IF(B10="","",S10*IFERROR(VLOOKUP(F10,EssenceTable,2,FALSE),0))</f>
        <v/>
      </c>
      <c r="U10" s="17">
        <f>IF(B10="","",IFERROR(VLOOKUP(G10,FinitionTable,2,FALSE),0)+R10*IFERROR(VLOOKUP(G10,FinitionTable,3,FALSE),0))</f>
        <v/>
      </c>
      <c r="V10" s="17">
        <f>IF(B10="","",IFERROR(VLOOKUP(H10,FermetureTable,2,FALSE),0))</f>
        <v/>
      </c>
      <c r="W10" s="17">
        <f>IF(B10="","",IFERROR(VLOOKUP(I10,CalesTable,2,FALSE),0))</f>
        <v/>
      </c>
      <c r="X10" s="17">
        <f>IF(B10="","",IF(OR(J10="",J10="Aucune"),0,(IF(K10="image",GravureSurfImage,GravureSurfTexte)*(IF(L10="",100,L10)/100)^2)*IFERROR(VLOOKUP(J10,GravureProcedeTable,2,FALSE),0)+IF(K10="image",FraisLogo,0)))</f>
        <v/>
      </c>
      <c r="Y10" s="17">
        <f>IF(B10="","",MainOeuvreBase+R10*MainOeuvreTaux)</f>
        <v/>
      </c>
      <c r="Z10" s="17">
        <f>IF(B10="","",SUM(T10:Y10))</f>
        <v/>
      </c>
      <c r="AA10" s="17">
        <f>IF(B10="","",IF(AND(N10="Oui",M10&gt;=SeuilB2B),"Oui (-"&amp;TauxRemiseB2B*100&amp;"%)","Non"))</f>
        <v/>
      </c>
      <c r="AB10" s="17">
        <f>IF(B10="","",IF(AND(N10="Oui",M10&gt;=SeuilB2B),Z10*(1-TauxRemiseB2B),Z10))</f>
        <v/>
      </c>
      <c r="AC10" s="17">
        <f>IF(B10="","",AB10*M10)</f>
        <v/>
      </c>
      <c r="AD10" s="17">
        <f>IF(B10="","",AC10*(1+TauxTVA))</f>
        <v/>
      </c>
    </row>
    <row r="11">
      <c r="M11" t="n">
        <v>1</v>
      </c>
      <c r="N11" t="inlineStr">
        <is>
          <t>Non</t>
        </is>
      </c>
      <c r="O11" s="14">
        <f>IF(B11="","",IF(B11="Sur mesure...",C11,VLOOKUP(B11,TailleVinsTable,2,FALSE)))</f>
        <v/>
      </c>
      <c r="P11" s="14">
        <f>IF(B11="","",IF(B11="Sur mesure...",D11,VLOOKUP(B11,TailleVinsTable,3,FALSE)))</f>
        <v/>
      </c>
      <c r="Q11" s="14">
        <f>IF(B11="","",IF(B11="Sur mesure...",E11,VLOOKUP(B11,TailleVinsTable,4,FALSE)))</f>
        <v/>
      </c>
      <c r="R11" s="15">
        <f>IF(B11="","",2*((O11*P11)+(O11*Q11)+(P11*Q11))/10000)</f>
        <v/>
      </c>
      <c r="S11" s="16">
        <f>IF(B11="","",R11*EpaisseurPanneau)</f>
        <v/>
      </c>
      <c r="T11" s="17">
        <f>IF(B11="","",S11*IFERROR(VLOOKUP(F11,EssenceTable,2,FALSE),0))</f>
        <v/>
      </c>
      <c r="U11" s="17">
        <f>IF(B11="","",IFERROR(VLOOKUP(G11,FinitionTable,2,FALSE),0)+R11*IFERROR(VLOOKUP(G11,FinitionTable,3,FALSE),0))</f>
        <v/>
      </c>
      <c r="V11" s="17">
        <f>IF(B11="","",IFERROR(VLOOKUP(H11,FermetureTable,2,FALSE),0))</f>
        <v/>
      </c>
      <c r="W11" s="17">
        <f>IF(B11="","",IFERROR(VLOOKUP(I11,CalesTable,2,FALSE),0))</f>
        <v/>
      </c>
      <c r="X11" s="17">
        <f>IF(B11="","",IF(OR(J11="",J11="Aucune"),0,(IF(K11="image",GravureSurfImage,GravureSurfTexte)*(IF(L11="",100,L11)/100)^2)*IFERROR(VLOOKUP(J11,GravureProcedeTable,2,FALSE),0)+IF(K11="image",FraisLogo,0)))</f>
        <v/>
      </c>
      <c r="Y11" s="17">
        <f>IF(B11="","",MainOeuvreBase+R11*MainOeuvreTaux)</f>
        <v/>
      </c>
      <c r="Z11" s="17">
        <f>IF(B11="","",SUM(T11:Y11))</f>
        <v/>
      </c>
      <c r="AA11" s="17">
        <f>IF(B11="","",IF(AND(N11="Oui",M11&gt;=SeuilB2B),"Oui (-"&amp;TauxRemiseB2B*100&amp;"%)","Non"))</f>
        <v/>
      </c>
      <c r="AB11" s="17">
        <f>IF(B11="","",IF(AND(N11="Oui",M11&gt;=SeuilB2B),Z11*(1-TauxRemiseB2B),Z11))</f>
        <v/>
      </c>
      <c r="AC11" s="17">
        <f>IF(B11="","",AB11*M11)</f>
        <v/>
      </c>
      <c r="AD11" s="17">
        <f>IF(B11="","",AC11*(1+TauxTVA))</f>
        <v/>
      </c>
    </row>
    <row r="12">
      <c r="M12" t="n">
        <v>1</v>
      </c>
      <c r="N12" t="inlineStr">
        <is>
          <t>Non</t>
        </is>
      </c>
      <c r="O12" s="14">
        <f>IF(B12="","",IF(B12="Sur mesure...",C12,VLOOKUP(B12,TailleVinsTable,2,FALSE)))</f>
        <v/>
      </c>
      <c r="P12" s="14">
        <f>IF(B12="","",IF(B12="Sur mesure...",D12,VLOOKUP(B12,TailleVinsTable,3,FALSE)))</f>
        <v/>
      </c>
      <c r="Q12" s="14">
        <f>IF(B12="","",IF(B12="Sur mesure...",E12,VLOOKUP(B12,TailleVinsTable,4,FALSE)))</f>
        <v/>
      </c>
      <c r="R12" s="15">
        <f>IF(B12="","",2*((O12*P12)+(O12*Q12)+(P12*Q12))/10000)</f>
        <v/>
      </c>
      <c r="S12" s="16">
        <f>IF(B12="","",R12*EpaisseurPanneau)</f>
        <v/>
      </c>
      <c r="T12" s="17">
        <f>IF(B12="","",S12*IFERROR(VLOOKUP(F12,EssenceTable,2,FALSE),0))</f>
        <v/>
      </c>
      <c r="U12" s="17">
        <f>IF(B12="","",IFERROR(VLOOKUP(G12,FinitionTable,2,FALSE),0)+R12*IFERROR(VLOOKUP(G12,FinitionTable,3,FALSE),0))</f>
        <v/>
      </c>
      <c r="V12" s="17">
        <f>IF(B12="","",IFERROR(VLOOKUP(H12,FermetureTable,2,FALSE),0))</f>
        <v/>
      </c>
      <c r="W12" s="17">
        <f>IF(B12="","",IFERROR(VLOOKUP(I12,CalesTable,2,FALSE),0))</f>
        <v/>
      </c>
      <c r="X12" s="17">
        <f>IF(B12="","",IF(OR(J12="",J12="Aucune"),0,(IF(K12="image",GravureSurfImage,GravureSurfTexte)*(IF(L12="",100,L12)/100)^2)*IFERROR(VLOOKUP(J12,GravureProcedeTable,2,FALSE),0)+IF(K12="image",FraisLogo,0)))</f>
        <v/>
      </c>
      <c r="Y12" s="17">
        <f>IF(B12="","",MainOeuvreBase+R12*MainOeuvreTaux)</f>
        <v/>
      </c>
      <c r="Z12" s="17">
        <f>IF(B12="","",SUM(T12:Y12))</f>
        <v/>
      </c>
      <c r="AA12" s="17">
        <f>IF(B12="","",IF(AND(N12="Oui",M12&gt;=SeuilB2B),"Oui (-"&amp;TauxRemiseB2B*100&amp;"%)","Non"))</f>
        <v/>
      </c>
      <c r="AB12" s="17">
        <f>IF(B12="","",IF(AND(N12="Oui",M12&gt;=SeuilB2B),Z12*(1-TauxRemiseB2B),Z12))</f>
        <v/>
      </c>
      <c r="AC12" s="17">
        <f>IF(B12="","",AB12*M12)</f>
        <v/>
      </c>
      <c r="AD12" s="17">
        <f>IF(B12="","",AC12*(1+TauxTVA))</f>
        <v/>
      </c>
    </row>
    <row r="13">
      <c r="M13" t="n">
        <v>1</v>
      </c>
      <c r="N13" t="inlineStr">
        <is>
          <t>Non</t>
        </is>
      </c>
      <c r="O13" s="14">
        <f>IF(B13="","",IF(B13="Sur mesure...",C13,VLOOKUP(B13,TailleVinsTable,2,FALSE)))</f>
        <v/>
      </c>
      <c r="P13" s="14">
        <f>IF(B13="","",IF(B13="Sur mesure...",D13,VLOOKUP(B13,TailleVinsTable,3,FALSE)))</f>
        <v/>
      </c>
      <c r="Q13" s="14">
        <f>IF(B13="","",IF(B13="Sur mesure...",E13,VLOOKUP(B13,TailleVinsTable,4,FALSE)))</f>
        <v/>
      </c>
      <c r="R13" s="15">
        <f>IF(B13="","",2*((O13*P13)+(O13*Q13)+(P13*Q13))/10000)</f>
        <v/>
      </c>
      <c r="S13" s="16">
        <f>IF(B13="","",R13*EpaisseurPanneau)</f>
        <v/>
      </c>
      <c r="T13" s="17">
        <f>IF(B13="","",S13*IFERROR(VLOOKUP(F13,EssenceTable,2,FALSE),0))</f>
        <v/>
      </c>
      <c r="U13" s="17">
        <f>IF(B13="","",IFERROR(VLOOKUP(G13,FinitionTable,2,FALSE),0)+R13*IFERROR(VLOOKUP(G13,FinitionTable,3,FALSE),0))</f>
        <v/>
      </c>
      <c r="V13" s="17">
        <f>IF(B13="","",IFERROR(VLOOKUP(H13,FermetureTable,2,FALSE),0))</f>
        <v/>
      </c>
      <c r="W13" s="17">
        <f>IF(B13="","",IFERROR(VLOOKUP(I13,CalesTable,2,FALSE),0))</f>
        <v/>
      </c>
      <c r="X13" s="17">
        <f>IF(B13="","",IF(OR(J13="",J13="Aucune"),0,(IF(K13="image",GravureSurfImage,GravureSurfTexte)*(IF(L13="",100,L13)/100)^2)*IFERROR(VLOOKUP(J13,GravureProcedeTable,2,FALSE),0)+IF(K13="image",FraisLogo,0)))</f>
        <v/>
      </c>
      <c r="Y13" s="17">
        <f>IF(B13="","",MainOeuvreBase+R13*MainOeuvreTaux)</f>
        <v/>
      </c>
      <c r="Z13" s="17">
        <f>IF(B13="","",SUM(T13:Y13))</f>
        <v/>
      </c>
      <c r="AA13" s="17">
        <f>IF(B13="","",IF(AND(N13="Oui",M13&gt;=SeuilB2B),"Oui (-"&amp;TauxRemiseB2B*100&amp;"%)","Non"))</f>
        <v/>
      </c>
      <c r="AB13" s="17">
        <f>IF(B13="","",IF(AND(N13="Oui",M13&gt;=SeuilB2B),Z13*(1-TauxRemiseB2B),Z13))</f>
        <v/>
      </c>
      <c r="AC13" s="17">
        <f>IF(B13="","",AB13*M13)</f>
        <v/>
      </c>
      <c r="AD13" s="17">
        <f>IF(B13="","",AC13*(1+TauxTVA))</f>
        <v/>
      </c>
    </row>
    <row r="14">
      <c r="M14" t="n">
        <v>1</v>
      </c>
      <c r="N14" t="inlineStr">
        <is>
          <t>Non</t>
        </is>
      </c>
      <c r="O14" s="14">
        <f>IF(B14="","",IF(B14="Sur mesure...",C14,VLOOKUP(B14,TailleVinsTable,2,FALSE)))</f>
        <v/>
      </c>
      <c r="P14" s="14">
        <f>IF(B14="","",IF(B14="Sur mesure...",D14,VLOOKUP(B14,TailleVinsTable,3,FALSE)))</f>
        <v/>
      </c>
      <c r="Q14" s="14">
        <f>IF(B14="","",IF(B14="Sur mesure...",E14,VLOOKUP(B14,TailleVinsTable,4,FALSE)))</f>
        <v/>
      </c>
      <c r="R14" s="15">
        <f>IF(B14="","",2*((O14*P14)+(O14*Q14)+(P14*Q14))/10000)</f>
        <v/>
      </c>
      <c r="S14" s="16">
        <f>IF(B14="","",R14*EpaisseurPanneau)</f>
        <v/>
      </c>
      <c r="T14" s="17">
        <f>IF(B14="","",S14*IFERROR(VLOOKUP(F14,EssenceTable,2,FALSE),0))</f>
        <v/>
      </c>
      <c r="U14" s="17">
        <f>IF(B14="","",IFERROR(VLOOKUP(G14,FinitionTable,2,FALSE),0)+R14*IFERROR(VLOOKUP(G14,FinitionTable,3,FALSE),0))</f>
        <v/>
      </c>
      <c r="V14" s="17">
        <f>IF(B14="","",IFERROR(VLOOKUP(H14,FermetureTable,2,FALSE),0))</f>
        <v/>
      </c>
      <c r="W14" s="17">
        <f>IF(B14="","",IFERROR(VLOOKUP(I14,CalesTable,2,FALSE),0))</f>
        <v/>
      </c>
      <c r="X14" s="17">
        <f>IF(B14="","",IF(OR(J14="",J14="Aucune"),0,(IF(K14="image",GravureSurfImage,GravureSurfTexte)*(IF(L14="",100,L14)/100)^2)*IFERROR(VLOOKUP(J14,GravureProcedeTable,2,FALSE),0)+IF(K14="image",FraisLogo,0)))</f>
        <v/>
      </c>
      <c r="Y14" s="17">
        <f>IF(B14="","",MainOeuvreBase+R14*MainOeuvreTaux)</f>
        <v/>
      </c>
      <c r="Z14" s="17">
        <f>IF(B14="","",SUM(T14:Y14))</f>
        <v/>
      </c>
      <c r="AA14" s="17">
        <f>IF(B14="","",IF(AND(N14="Oui",M14&gt;=SeuilB2B),"Oui (-"&amp;TauxRemiseB2B*100&amp;"%)","Non"))</f>
        <v/>
      </c>
      <c r="AB14" s="17">
        <f>IF(B14="","",IF(AND(N14="Oui",M14&gt;=SeuilB2B),Z14*(1-TauxRemiseB2B),Z14))</f>
        <v/>
      </c>
      <c r="AC14" s="17">
        <f>IF(B14="","",AB14*M14)</f>
        <v/>
      </c>
      <c r="AD14" s="17">
        <f>IF(B14="","",AC14*(1+TauxTVA))</f>
        <v/>
      </c>
    </row>
    <row r="15">
      <c r="M15" t="n">
        <v>1</v>
      </c>
      <c r="N15" t="inlineStr">
        <is>
          <t>Non</t>
        </is>
      </c>
      <c r="O15" s="14">
        <f>IF(B15="","",IF(B15="Sur mesure...",C15,VLOOKUP(B15,TailleVinsTable,2,FALSE)))</f>
        <v/>
      </c>
      <c r="P15" s="14">
        <f>IF(B15="","",IF(B15="Sur mesure...",D15,VLOOKUP(B15,TailleVinsTable,3,FALSE)))</f>
        <v/>
      </c>
      <c r="Q15" s="14">
        <f>IF(B15="","",IF(B15="Sur mesure...",E15,VLOOKUP(B15,TailleVinsTable,4,FALSE)))</f>
        <v/>
      </c>
      <c r="R15" s="15">
        <f>IF(B15="","",2*((O15*P15)+(O15*Q15)+(P15*Q15))/10000)</f>
        <v/>
      </c>
      <c r="S15" s="16">
        <f>IF(B15="","",R15*EpaisseurPanneau)</f>
        <v/>
      </c>
      <c r="T15" s="17">
        <f>IF(B15="","",S15*IFERROR(VLOOKUP(F15,EssenceTable,2,FALSE),0))</f>
        <v/>
      </c>
      <c r="U15" s="17">
        <f>IF(B15="","",IFERROR(VLOOKUP(G15,FinitionTable,2,FALSE),0)+R15*IFERROR(VLOOKUP(G15,FinitionTable,3,FALSE),0))</f>
        <v/>
      </c>
      <c r="V15" s="17">
        <f>IF(B15="","",IFERROR(VLOOKUP(H15,FermetureTable,2,FALSE),0))</f>
        <v/>
      </c>
      <c r="W15" s="17">
        <f>IF(B15="","",IFERROR(VLOOKUP(I15,CalesTable,2,FALSE),0))</f>
        <v/>
      </c>
      <c r="X15" s="17">
        <f>IF(B15="","",IF(OR(J15="",J15="Aucune"),0,(IF(K15="image",GravureSurfImage,GravureSurfTexte)*(IF(L15="",100,L15)/100)^2)*IFERROR(VLOOKUP(J15,GravureProcedeTable,2,FALSE),0)+IF(K15="image",FraisLogo,0)))</f>
        <v/>
      </c>
      <c r="Y15" s="17">
        <f>IF(B15="","",MainOeuvreBase+R15*MainOeuvreTaux)</f>
        <v/>
      </c>
      <c r="Z15" s="17">
        <f>IF(B15="","",SUM(T15:Y15))</f>
        <v/>
      </c>
      <c r="AA15" s="17">
        <f>IF(B15="","",IF(AND(N15="Oui",M15&gt;=SeuilB2B),"Oui (-"&amp;TauxRemiseB2B*100&amp;"%)","Non"))</f>
        <v/>
      </c>
      <c r="AB15" s="17">
        <f>IF(B15="","",IF(AND(N15="Oui",M15&gt;=SeuilB2B),Z15*(1-TauxRemiseB2B),Z15))</f>
        <v/>
      </c>
      <c r="AC15" s="17">
        <f>IF(B15="","",AB15*M15)</f>
        <v/>
      </c>
      <c r="AD15" s="17">
        <f>IF(B15="","",AC15*(1+TauxTVA))</f>
        <v/>
      </c>
    </row>
    <row r="16">
      <c r="M16" t="n">
        <v>1</v>
      </c>
      <c r="N16" t="inlineStr">
        <is>
          <t>Non</t>
        </is>
      </c>
      <c r="O16" s="14">
        <f>IF(B16="","",IF(B16="Sur mesure...",C16,VLOOKUP(B16,TailleVinsTable,2,FALSE)))</f>
        <v/>
      </c>
      <c r="P16" s="14">
        <f>IF(B16="","",IF(B16="Sur mesure...",D16,VLOOKUP(B16,TailleVinsTable,3,FALSE)))</f>
        <v/>
      </c>
      <c r="Q16" s="14">
        <f>IF(B16="","",IF(B16="Sur mesure...",E16,VLOOKUP(B16,TailleVinsTable,4,FALSE)))</f>
        <v/>
      </c>
      <c r="R16" s="15">
        <f>IF(B16="","",2*((O16*P16)+(O16*Q16)+(P16*Q16))/10000)</f>
        <v/>
      </c>
      <c r="S16" s="16">
        <f>IF(B16="","",R16*EpaisseurPanneau)</f>
        <v/>
      </c>
      <c r="T16" s="17">
        <f>IF(B16="","",S16*IFERROR(VLOOKUP(F16,EssenceTable,2,FALSE),0))</f>
        <v/>
      </c>
      <c r="U16" s="17">
        <f>IF(B16="","",IFERROR(VLOOKUP(G16,FinitionTable,2,FALSE),0)+R16*IFERROR(VLOOKUP(G16,FinitionTable,3,FALSE),0))</f>
        <v/>
      </c>
      <c r="V16" s="17">
        <f>IF(B16="","",IFERROR(VLOOKUP(H16,FermetureTable,2,FALSE),0))</f>
        <v/>
      </c>
      <c r="W16" s="17">
        <f>IF(B16="","",IFERROR(VLOOKUP(I16,CalesTable,2,FALSE),0))</f>
        <v/>
      </c>
      <c r="X16" s="17">
        <f>IF(B16="","",IF(OR(J16="",J16="Aucune"),0,(IF(K16="image",GravureSurfImage,GravureSurfTexte)*(IF(L16="",100,L16)/100)^2)*IFERROR(VLOOKUP(J16,GravureProcedeTable,2,FALSE),0)+IF(K16="image",FraisLogo,0)))</f>
        <v/>
      </c>
      <c r="Y16" s="17">
        <f>IF(B16="","",MainOeuvreBase+R16*MainOeuvreTaux)</f>
        <v/>
      </c>
      <c r="Z16" s="17">
        <f>IF(B16="","",SUM(T16:Y16))</f>
        <v/>
      </c>
      <c r="AA16" s="17">
        <f>IF(B16="","",IF(AND(N16="Oui",M16&gt;=SeuilB2B),"Oui (-"&amp;TauxRemiseB2B*100&amp;"%)","Non"))</f>
        <v/>
      </c>
      <c r="AB16" s="17">
        <f>IF(B16="","",IF(AND(N16="Oui",M16&gt;=SeuilB2B),Z16*(1-TauxRemiseB2B),Z16))</f>
        <v/>
      </c>
      <c r="AC16" s="17">
        <f>IF(B16="","",AB16*M16)</f>
        <v/>
      </c>
      <c r="AD16" s="17">
        <f>IF(B16="","",AC16*(1+TauxTVA))</f>
        <v/>
      </c>
    </row>
    <row r="17">
      <c r="M17" t="n">
        <v>1</v>
      </c>
      <c r="N17" t="inlineStr">
        <is>
          <t>Non</t>
        </is>
      </c>
      <c r="O17" s="14">
        <f>IF(B17="","",IF(B17="Sur mesure...",C17,VLOOKUP(B17,TailleVinsTable,2,FALSE)))</f>
        <v/>
      </c>
      <c r="P17" s="14">
        <f>IF(B17="","",IF(B17="Sur mesure...",D17,VLOOKUP(B17,TailleVinsTable,3,FALSE)))</f>
        <v/>
      </c>
      <c r="Q17" s="14">
        <f>IF(B17="","",IF(B17="Sur mesure...",E17,VLOOKUP(B17,TailleVinsTable,4,FALSE)))</f>
        <v/>
      </c>
      <c r="R17" s="15">
        <f>IF(B17="","",2*((O17*P17)+(O17*Q17)+(P17*Q17))/10000)</f>
        <v/>
      </c>
      <c r="S17" s="16">
        <f>IF(B17="","",R17*EpaisseurPanneau)</f>
        <v/>
      </c>
      <c r="T17" s="17">
        <f>IF(B17="","",S17*IFERROR(VLOOKUP(F17,EssenceTable,2,FALSE),0))</f>
        <v/>
      </c>
      <c r="U17" s="17">
        <f>IF(B17="","",IFERROR(VLOOKUP(G17,FinitionTable,2,FALSE),0)+R17*IFERROR(VLOOKUP(G17,FinitionTable,3,FALSE),0))</f>
        <v/>
      </c>
      <c r="V17" s="17">
        <f>IF(B17="","",IFERROR(VLOOKUP(H17,FermetureTable,2,FALSE),0))</f>
        <v/>
      </c>
      <c r="W17" s="17">
        <f>IF(B17="","",IFERROR(VLOOKUP(I17,CalesTable,2,FALSE),0))</f>
        <v/>
      </c>
      <c r="X17" s="17">
        <f>IF(B17="","",IF(OR(J17="",J17="Aucune"),0,(IF(K17="image",GravureSurfImage,GravureSurfTexte)*(IF(L17="",100,L17)/100)^2)*IFERROR(VLOOKUP(J17,GravureProcedeTable,2,FALSE),0)+IF(K17="image",FraisLogo,0)))</f>
        <v/>
      </c>
      <c r="Y17" s="17">
        <f>IF(B17="","",MainOeuvreBase+R17*MainOeuvreTaux)</f>
        <v/>
      </c>
      <c r="Z17" s="17">
        <f>IF(B17="","",SUM(T17:Y17))</f>
        <v/>
      </c>
      <c r="AA17" s="17">
        <f>IF(B17="","",IF(AND(N17="Oui",M17&gt;=SeuilB2B),"Oui (-"&amp;TauxRemiseB2B*100&amp;"%)","Non"))</f>
        <v/>
      </c>
      <c r="AB17" s="17">
        <f>IF(B17="","",IF(AND(N17="Oui",M17&gt;=SeuilB2B),Z17*(1-TauxRemiseB2B),Z17))</f>
        <v/>
      </c>
      <c r="AC17" s="17">
        <f>IF(B17="","",AB17*M17)</f>
        <v/>
      </c>
      <c r="AD17" s="17">
        <f>IF(B17="","",AC17*(1+TauxTVA))</f>
        <v/>
      </c>
    </row>
    <row r="18">
      <c r="M18" t="n">
        <v>1</v>
      </c>
      <c r="N18" t="inlineStr">
        <is>
          <t>Non</t>
        </is>
      </c>
      <c r="O18" s="14">
        <f>IF(B18="","",IF(B18="Sur mesure...",C18,VLOOKUP(B18,TailleVinsTable,2,FALSE)))</f>
        <v/>
      </c>
      <c r="P18" s="14">
        <f>IF(B18="","",IF(B18="Sur mesure...",D18,VLOOKUP(B18,TailleVinsTable,3,FALSE)))</f>
        <v/>
      </c>
      <c r="Q18" s="14">
        <f>IF(B18="","",IF(B18="Sur mesure...",E18,VLOOKUP(B18,TailleVinsTable,4,FALSE)))</f>
        <v/>
      </c>
      <c r="R18" s="15">
        <f>IF(B18="","",2*((O18*P18)+(O18*Q18)+(P18*Q18))/10000)</f>
        <v/>
      </c>
      <c r="S18" s="16">
        <f>IF(B18="","",R18*EpaisseurPanneau)</f>
        <v/>
      </c>
      <c r="T18" s="17">
        <f>IF(B18="","",S18*IFERROR(VLOOKUP(F18,EssenceTable,2,FALSE),0))</f>
        <v/>
      </c>
      <c r="U18" s="17">
        <f>IF(B18="","",IFERROR(VLOOKUP(G18,FinitionTable,2,FALSE),0)+R18*IFERROR(VLOOKUP(G18,FinitionTable,3,FALSE),0))</f>
        <v/>
      </c>
      <c r="V18" s="17">
        <f>IF(B18="","",IFERROR(VLOOKUP(H18,FermetureTable,2,FALSE),0))</f>
        <v/>
      </c>
      <c r="W18" s="17">
        <f>IF(B18="","",IFERROR(VLOOKUP(I18,CalesTable,2,FALSE),0))</f>
        <v/>
      </c>
      <c r="X18" s="17">
        <f>IF(B18="","",IF(OR(J18="",J18="Aucune"),0,(IF(K18="image",GravureSurfImage,GravureSurfTexte)*(IF(L18="",100,L18)/100)^2)*IFERROR(VLOOKUP(J18,GravureProcedeTable,2,FALSE),0)+IF(K18="image",FraisLogo,0)))</f>
        <v/>
      </c>
      <c r="Y18" s="17">
        <f>IF(B18="","",MainOeuvreBase+R18*MainOeuvreTaux)</f>
        <v/>
      </c>
      <c r="Z18" s="17">
        <f>IF(B18="","",SUM(T18:Y18))</f>
        <v/>
      </c>
      <c r="AA18" s="17">
        <f>IF(B18="","",IF(AND(N18="Oui",M18&gt;=SeuilB2B),"Oui (-"&amp;TauxRemiseB2B*100&amp;"%)","Non"))</f>
        <v/>
      </c>
      <c r="AB18" s="17">
        <f>IF(B18="","",IF(AND(N18="Oui",M18&gt;=SeuilB2B),Z18*(1-TauxRemiseB2B),Z18))</f>
        <v/>
      </c>
      <c r="AC18" s="17">
        <f>IF(B18="","",AB18*M18)</f>
        <v/>
      </c>
      <c r="AD18" s="17">
        <f>IF(B18="","",AC18*(1+TauxTVA))</f>
        <v/>
      </c>
    </row>
    <row r="19">
      <c r="M19" t="n">
        <v>1</v>
      </c>
      <c r="N19" t="inlineStr">
        <is>
          <t>Non</t>
        </is>
      </c>
      <c r="O19" s="14">
        <f>IF(B19="","",IF(B19="Sur mesure...",C19,VLOOKUP(B19,TailleVinsTable,2,FALSE)))</f>
        <v/>
      </c>
      <c r="P19" s="14">
        <f>IF(B19="","",IF(B19="Sur mesure...",D19,VLOOKUP(B19,TailleVinsTable,3,FALSE)))</f>
        <v/>
      </c>
      <c r="Q19" s="14">
        <f>IF(B19="","",IF(B19="Sur mesure...",E19,VLOOKUP(B19,TailleVinsTable,4,FALSE)))</f>
        <v/>
      </c>
      <c r="R19" s="15">
        <f>IF(B19="","",2*((O19*P19)+(O19*Q19)+(P19*Q19))/10000)</f>
        <v/>
      </c>
      <c r="S19" s="16">
        <f>IF(B19="","",R19*EpaisseurPanneau)</f>
        <v/>
      </c>
      <c r="T19" s="17">
        <f>IF(B19="","",S19*IFERROR(VLOOKUP(F19,EssenceTable,2,FALSE),0))</f>
        <v/>
      </c>
      <c r="U19" s="17">
        <f>IF(B19="","",IFERROR(VLOOKUP(G19,FinitionTable,2,FALSE),0)+R19*IFERROR(VLOOKUP(G19,FinitionTable,3,FALSE),0))</f>
        <v/>
      </c>
      <c r="V19" s="17">
        <f>IF(B19="","",IFERROR(VLOOKUP(H19,FermetureTable,2,FALSE),0))</f>
        <v/>
      </c>
      <c r="W19" s="17">
        <f>IF(B19="","",IFERROR(VLOOKUP(I19,CalesTable,2,FALSE),0))</f>
        <v/>
      </c>
      <c r="X19" s="17">
        <f>IF(B19="","",IF(OR(J19="",J19="Aucune"),0,(IF(K19="image",GravureSurfImage,GravureSurfTexte)*(IF(L19="",100,L19)/100)^2)*IFERROR(VLOOKUP(J19,GravureProcedeTable,2,FALSE),0)+IF(K19="image",FraisLogo,0)))</f>
        <v/>
      </c>
      <c r="Y19" s="17">
        <f>IF(B19="","",MainOeuvreBase+R19*MainOeuvreTaux)</f>
        <v/>
      </c>
      <c r="Z19" s="17">
        <f>IF(B19="","",SUM(T19:Y19))</f>
        <v/>
      </c>
      <c r="AA19" s="17">
        <f>IF(B19="","",IF(AND(N19="Oui",M19&gt;=SeuilB2B),"Oui (-"&amp;TauxRemiseB2B*100&amp;"%)","Non"))</f>
        <v/>
      </c>
      <c r="AB19" s="17">
        <f>IF(B19="","",IF(AND(N19="Oui",M19&gt;=SeuilB2B),Z19*(1-TauxRemiseB2B),Z19))</f>
        <v/>
      </c>
      <c r="AC19" s="17">
        <f>IF(B19="","",AB19*M19)</f>
        <v/>
      </c>
      <c r="AD19" s="17">
        <f>IF(B19="","",AC19*(1+TauxTVA))</f>
        <v/>
      </c>
    </row>
    <row r="20">
      <c r="M20" t="n">
        <v>1</v>
      </c>
      <c r="N20" t="inlineStr">
        <is>
          <t>Non</t>
        </is>
      </c>
      <c r="O20" s="14">
        <f>IF(B20="","",IF(B20="Sur mesure...",C20,VLOOKUP(B20,TailleVinsTable,2,FALSE)))</f>
        <v/>
      </c>
      <c r="P20" s="14">
        <f>IF(B20="","",IF(B20="Sur mesure...",D20,VLOOKUP(B20,TailleVinsTable,3,FALSE)))</f>
        <v/>
      </c>
      <c r="Q20" s="14">
        <f>IF(B20="","",IF(B20="Sur mesure...",E20,VLOOKUP(B20,TailleVinsTable,4,FALSE)))</f>
        <v/>
      </c>
      <c r="R20" s="15">
        <f>IF(B20="","",2*((O20*P20)+(O20*Q20)+(P20*Q20))/10000)</f>
        <v/>
      </c>
      <c r="S20" s="16">
        <f>IF(B20="","",R20*EpaisseurPanneau)</f>
        <v/>
      </c>
      <c r="T20" s="17">
        <f>IF(B20="","",S20*IFERROR(VLOOKUP(F20,EssenceTable,2,FALSE),0))</f>
        <v/>
      </c>
      <c r="U20" s="17">
        <f>IF(B20="","",IFERROR(VLOOKUP(G20,FinitionTable,2,FALSE),0)+R20*IFERROR(VLOOKUP(G20,FinitionTable,3,FALSE),0))</f>
        <v/>
      </c>
      <c r="V20" s="17">
        <f>IF(B20="","",IFERROR(VLOOKUP(H20,FermetureTable,2,FALSE),0))</f>
        <v/>
      </c>
      <c r="W20" s="17">
        <f>IF(B20="","",IFERROR(VLOOKUP(I20,CalesTable,2,FALSE),0))</f>
        <v/>
      </c>
      <c r="X20" s="17">
        <f>IF(B20="","",IF(OR(J20="",J20="Aucune"),0,(IF(K20="image",GravureSurfImage,GravureSurfTexte)*(IF(L20="",100,L20)/100)^2)*IFERROR(VLOOKUP(J20,GravureProcedeTable,2,FALSE),0)+IF(K20="image",FraisLogo,0)))</f>
        <v/>
      </c>
      <c r="Y20" s="17">
        <f>IF(B20="","",MainOeuvreBase+R20*MainOeuvreTaux)</f>
        <v/>
      </c>
      <c r="Z20" s="17">
        <f>IF(B20="","",SUM(T20:Y20))</f>
        <v/>
      </c>
      <c r="AA20" s="17">
        <f>IF(B20="","",IF(AND(N20="Oui",M20&gt;=SeuilB2B),"Oui (-"&amp;TauxRemiseB2B*100&amp;"%)","Non"))</f>
        <v/>
      </c>
      <c r="AB20" s="17">
        <f>IF(B20="","",IF(AND(N20="Oui",M20&gt;=SeuilB2B),Z20*(1-TauxRemiseB2B),Z20))</f>
        <v/>
      </c>
      <c r="AC20" s="17">
        <f>IF(B20="","",AB20*M20)</f>
        <v/>
      </c>
      <c r="AD20" s="17">
        <f>IF(B20="","",AC20*(1+TauxTVA))</f>
        <v/>
      </c>
    </row>
    <row r="21">
      <c r="M21" t="n">
        <v>1</v>
      </c>
      <c r="N21" t="inlineStr">
        <is>
          <t>Non</t>
        </is>
      </c>
      <c r="O21" s="14">
        <f>IF(B21="","",IF(B21="Sur mesure...",C21,VLOOKUP(B21,TailleVinsTable,2,FALSE)))</f>
        <v/>
      </c>
      <c r="P21" s="14">
        <f>IF(B21="","",IF(B21="Sur mesure...",D21,VLOOKUP(B21,TailleVinsTable,3,FALSE)))</f>
        <v/>
      </c>
      <c r="Q21" s="14">
        <f>IF(B21="","",IF(B21="Sur mesure...",E21,VLOOKUP(B21,TailleVinsTable,4,FALSE)))</f>
        <v/>
      </c>
      <c r="R21" s="15">
        <f>IF(B21="","",2*((O21*P21)+(O21*Q21)+(P21*Q21))/10000)</f>
        <v/>
      </c>
      <c r="S21" s="16">
        <f>IF(B21="","",R21*EpaisseurPanneau)</f>
        <v/>
      </c>
      <c r="T21" s="17">
        <f>IF(B21="","",S21*IFERROR(VLOOKUP(F21,EssenceTable,2,FALSE),0))</f>
        <v/>
      </c>
      <c r="U21" s="17">
        <f>IF(B21="","",IFERROR(VLOOKUP(G21,FinitionTable,2,FALSE),0)+R21*IFERROR(VLOOKUP(G21,FinitionTable,3,FALSE),0))</f>
        <v/>
      </c>
      <c r="V21" s="17">
        <f>IF(B21="","",IFERROR(VLOOKUP(H21,FermetureTable,2,FALSE),0))</f>
        <v/>
      </c>
      <c r="W21" s="17">
        <f>IF(B21="","",IFERROR(VLOOKUP(I21,CalesTable,2,FALSE),0))</f>
        <v/>
      </c>
      <c r="X21" s="17">
        <f>IF(B21="","",IF(OR(J21="",J21="Aucune"),0,(IF(K21="image",GravureSurfImage,GravureSurfTexte)*(IF(L21="",100,L21)/100)^2)*IFERROR(VLOOKUP(J21,GravureProcedeTable,2,FALSE),0)+IF(K21="image",FraisLogo,0)))</f>
        <v/>
      </c>
      <c r="Y21" s="17">
        <f>IF(B21="","",MainOeuvreBase+R21*MainOeuvreTaux)</f>
        <v/>
      </c>
      <c r="Z21" s="17">
        <f>IF(B21="","",SUM(T21:Y21))</f>
        <v/>
      </c>
      <c r="AA21" s="17">
        <f>IF(B21="","",IF(AND(N21="Oui",M21&gt;=SeuilB2B),"Oui (-"&amp;TauxRemiseB2B*100&amp;"%)","Non"))</f>
        <v/>
      </c>
      <c r="AB21" s="17">
        <f>IF(B21="","",IF(AND(N21="Oui",M21&gt;=SeuilB2B),Z21*(1-TauxRemiseB2B),Z21))</f>
        <v/>
      </c>
      <c r="AC21" s="17">
        <f>IF(B21="","",AB21*M21)</f>
        <v/>
      </c>
      <c r="AD21" s="17">
        <f>IF(B21="","",AC21*(1+TauxTVA))</f>
        <v/>
      </c>
    </row>
    <row r="22">
      <c r="M22" t="n">
        <v>1</v>
      </c>
      <c r="N22" t="inlineStr">
        <is>
          <t>Non</t>
        </is>
      </c>
      <c r="O22" s="14">
        <f>IF(B22="","",IF(B22="Sur mesure...",C22,VLOOKUP(B22,TailleVinsTable,2,FALSE)))</f>
        <v/>
      </c>
      <c r="P22" s="14">
        <f>IF(B22="","",IF(B22="Sur mesure...",D22,VLOOKUP(B22,TailleVinsTable,3,FALSE)))</f>
        <v/>
      </c>
      <c r="Q22" s="14">
        <f>IF(B22="","",IF(B22="Sur mesure...",E22,VLOOKUP(B22,TailleVinsTable,4,FALSE)))</f>
        <v/>
      </c>
      <c r="R22" s="15">
        <f>IF(B22="","",2*((O22*P22)+(O22*Q22)+(P22*Q22))/10000)</f>
        <v/>
      </c>
      <c r="S22" s="16">
        <f>IF(B22="","",R22*EpaisseurPanneau)</f>
        <v/>
      </c>
      <c r="T22" s="17">
        <f>IF(B22="","",S22*IFERROR(VLOOKUP(F22,EssenceTable,2,FALSE),0))</f>
        <v/>
      </c>
      <c r="U22" s="17">
        <f>IF(B22="","",IFERROR(VLOOKUP(G22,FinitionTable,2,FALSE),0)+R22*IFERROR(VLOOKUP(G22,FinitionTable,3,FALSE),0))</f>
        <v/>
      </c>
      <c r="V22" s="17">
        <f>IF(B22="","",IFERROR(VLOOKUP(H22,FermetureTable,2,FALSE),0))</f>
        <v/>
      </c>
      <c r="W22" s="17">
        <f>IF(B22="","",IFERROR(VLOOKUP(I22,CalesTable,2,FALSE),0))</f>
        <v/>
      </c>
      <c r="X22" s="17">
        <f>IF(B22="","",IF(OR(J22="",J22="Aucune"),0,(IF(K22="image",GravureSurfImage,GravureSurfTexte)*(IF(L22="",100,L22)/100)^2)*IFERROR(VLOOKUP(J22,GravureProcedeTable,2,FALSE),0)+IF(K22="image",FraisLogo,0)))</f>
        <v/>
      </c>
      <c r="Y22" s="17">
        <f>IF(B22="","",MainOeuvreBase+R22*MainOeuvreTaux)</f>
        <v/>
      </c>
      <c r="Z22" s="17">
        <f>IF(B22="","",SUM(T22:Y22))</f>
        <v/>
      </c>
      <c r="AA22" s="17">
        <f>IF(B22="","",IF(AND(N22="Oui",M22&gt;=SeuilB2B),"Oui (-"&amp;TauxRemiseB2B*100&amp;"%)","Non"))</f>
        <v/>
      </c>
      <c r="AB22" s="17">
        <f>IF(B22="","",IF(AND(N22="Oui",M22&gt;=SeuilB2B),Z22*(1-TauxRemiseB2B),Z22))</f>
        <v/>
      </c>
      <c r="AC22" s="17">
        <f>IF(B22="","",AB22*M22)</f>
        <v/>
      </c>
      <c r="AD22" s="17">
        <f>IF(B22="","",AC22*(1+TauxTVA))</f>
        <v/>
      </c>
    </row>
    <row r="23">
      <c r="M23" t="n">
        <v>1</v>
      </c>
      <c r="N23" t="inlineStr">
        <is>
          <t>Non</t>
        </is>
      </c>
      <c r="O23" s="14">
        <f>IF(B23="","",IF(B23="Sur mesure...",C23,VLOOKUP(B23,TailleVinsTable,2,FALSE)))</f>
        <v/>
      </c>
      <c r="P23" s="14">
        <f>IF(B23="","",IF(B23="Sur mesure...",D23,VLOOKUP(B23,TailleVinsTable,3,FALSE)))</f>
        <v/>
      </c>
      <c r="Q23" s="14">
        <f>IF(B23="","",IF(B23="Sur mesure...",E23,VLOOKUP(B23,TailleVinsTable,4,FALSE)))</f>
        <v/>
      </c>
      <c r="R23" s="15">
        <f>IF(B23="","",2*((O23*P23)+(O23*Q23)+(P23*Q23))/10000)</f>
        <v/>
      </c>
      <c r="S23" s="16">
        <f>IF(B23="","",R23*EpaisseurPanneau)</f>
        <v/>
      </c>
      <c r="T23" s="17">
        <f>IF(B23="","",S23*IFERROR(VLOOKUP(F23,EssenceTable,2,FALSE),0))</f>
        <v/>
      </c>
      <c r="U23" s="17">
        <f>IF(B23="","",IFERROR(VLOOKUP(G23,FinitionTable,2,FALSE),0)+R23*IFERROR(VLOOKUP(G23,FinitionTable,3,FALSE),0))</f>
        <v/>
      </c>
      <c r="V23" s="17">
        <f>IF(B23="","",IFERROR(VLOOKUP(H23,FermetureTable,2,FALSE),0))</f>
        <v/>
      </c>
      <c r="W23" s="17">
        <f>IF(B23="","",IFERROR(VLOOKUP(I23,CalesTable,2,FALSE),0))</f>
        <v/>
      </c>
      <c r="X23" s="17">
        <f>IF(B23="","",IF(OR(J23="",J23="Aucune"),0,(IF(K23="image",GravureSurfImage,GravureSurfTexte)*(IF(L23="",100,L23)/100)^2)*IFERROR(VLOOKUP(J23,GravureProcedeTable,2,FALSE),0)+IF(K23="image",FraisLogo,0)))</f>
        <v/>
      </c>
      <c r="Y23" s="17">
        <f>IF(B23="","",MainOeuvreBase+R23*MainOeuvreTaux)</f>
        <v/>
      </c>
      <c r="Z23" s="17">
        <f>IF(B23="","",SUM(T23:Y23))</f>
        <v/>
      </c>
      <c r="AA23" s="17">
        <f>IF(B23="","",IF(AND(N23="Oui",M23&gt;=SeuilB2B),"Oui (-"&amp;TauxRemiseB2B*100&amp;"%)","Non"))</f>
        <v/>
      </c>
      <c r="AB23" s="17">
        <f>IF(B23="","",IF(AND(N23="Oui",M23&gt;=SeuilB2B),Z23*(1-TauxRemiseB2B),Z23))</f>
        <v/>
      </c>
      <c r="AC23" s="17">
        <f>IF(B23="","",AB23*M23)</f>
        <v/>
      </c>
      <c r="AD23" s="17">
        <f>IF(B23="","",AC23*(1+TauxTVA))</f>
        <v/>
      </c>
    </row>
    <row r="24">
      <c r="M24" t="n">
        <v>1</v>
      </c>
      <c r="N24" t="inlineStr">
        <is>
          <t>Non</t>
        </is>
      </c>
      <c r="O24" s="14">
        <f>IF(B24="","",IF(B24="Sur mesure...",C24,VLOOKUP(B24,TailleVinsTable,2,FALSE)))</f>
        <v/>
      </c>
      <c r="P24" s="14">
        <f>IF(B24="","",IF(B24="Sur mesure...",D24,VLOOKUP(B24,TailleVinsTable,3,FALSE)))</f>
        <v/>
      </c>
      <c r="Q24" s="14">
        <f>IF(B24="","",IF(B24="Sur mesure...",E24,VLOOKUP(B24,TailleVinsTable,4,FALSE)))</f>
        <v/>
      </c>
      <c r="R24" s="15">
        <f>IF(B24="","",2*((O24*P24)+(O24*Q24)+(P24*Q24))/10000)</f>
        <v/>
      </c>
      <c r="S24" s="16">
        <f>IF(B24="","",R24*EpaisseurPanneau)</f>
        <v/>
      </c>
      <c r="T24" s="17">
        <f>IF(B24="","",S24*IFERROR(VLOOKUP(F24,EssenceTable,2,FALSE),0))</f>
        <v/>
      </c>
      <c r="U24" s="17">
        <f>IF(B24="","",IFERROR(VLOOKUP(G24,FinitionTable,2,FALSE),0)+R24*IFERROR(VLOOKUP(G24,FinitionTable,3,FALSE),0))</f>
        <v/>
      </c>
      <c r="V24" s="17">
        <f>IF(B24="","",IFERROR(VLOOKUP(H24,FermetureTable,2,FALSE),0))</f>
        <v/>
      </c>
      <c r="W24" s="17">
        <f>IF(B24="","",IFERROR(VLOOKUP(I24,CalesTable,2,FALSE),0))</f>
        <v/>
      </c>
      <c r="X24" s="17">
        <f>IF(B24="","",IF(OR(J24="",J24="Aucune"),0,(IF(K24="image",GravureSurfImage,GravureSurfTexte)*(IF(L24="",100,L24)/100)^2)*IFERROR(VLOOKUP(J24,GravureProcedeTable,2,FALSE),0)+IF(K24="image",FraisLogo,0)))</f>
        <v/>
      </c>
      <c r="Y24" s="17">
        <f>IF(B24="","",MainOeuvreBase+R24*MainOeuvreTaux)</f>
        <v/>
      </c>
      <c r="Z24" s="17">
        <f>IF(B24="","",SUM(T24:Y24))</f>
        <v/>
      </c>
      <c r="AA24" s="17">
        <f>IF(B24="","",IF(AND(N24="Oui",M24&gt;=SeuilB2B),"Oui (-"&amp;TauxRemiseB2B*100&amp;"%)","Non"))</f>
        <v/>
      </c>
      <c r="AB24" s="17">
        <f>IF(B24="","",IF(AND(N24="Oui",M24&gt;=SeuilB2B),Z24*(1-TauxRemiseB2B),Z24))</f>
        <v/>
      </c>
      <c r="AC24" s="17">
        <f>IF(B24="","",AB24*M24)</f>
        <v/>
      </c>
      <c r="AD24" s="17">
        <f>IF(B24="","",AC24*(1+TauxTVA))</f>
        <v/>
      </c>
    </row>
    <row r="25">
      <c r="M25" t="n">
        <v>1</v>
      </c>
      <c r="N25" t="inlineStr">
        <is>
          <t>Non</t>
        </is>
      </c>
      <c r="O25" s="14">
        <f>IF(B25="","",IF(B25="Sur mesure...",C25,VLOOKUP(B25,TailleVinsTable,2,FALSE)))</f>
        <v/>
      </c>
      <c r="P25" s="14">
        <f>IF(B25="","",IF(B25="Sur mesure...",D25,VLOOKUP(B25,TailleVinsTable,3,FALSE)))</f>
        <v/>
      </c>
      <c r="Q25" s="14">
        <f>IF(B25="","",IF(B25="Sur mesure...",E25,VLOOKUP(B25,TailleVinsTable,4,FALSE)))</f>
        <v/>
      </c>
      <c r="R25" s="15">
        <f>IF(B25="","",2*((O25*P25)+(O25*Q25)+(P25*Q25))/10000)</f>
        <v/>
      </c>
      <c r="S25" s="16">
        <f>IF(B25="","",R25*EpaisseurPanneau)</f>
        <v/>
      </c>
      <c r="T25" s="17">
        <f>IF(B25="","",S25*IFERROR(VLOOKUP(F25,EssenceTable,2,FALSE),0))</f>
        <v/>
      </c>
      <c r="U25" s="17">
        <f>IF(B25="","",IFERROR(VLOOKUP(G25,FinitionTable,2,FALSE),0)+R25*IFERROR(VLOOKUP(G25,FinitionTable,3,FALSE),0))</f>
        <v/>
      </c>
      <c r="V25" s="17">
        <f>IF(B25="","",IFERROR(VLOOKUP(H25,FermetureTable,2,FALSE),0))</f>
        <v/>
      </c>
      <c r="W25" s="17">
        <f>IF(B25="","",IFERROR(VLOOKUP(I25,CalesTable,2,FALSE),0))</f>
        <v/>
      </c>
      <c r="X25" s="17">
        <f>IF(B25="","",IF(OR(J25="",J25="Aucune"),0,(IF(K25="image",GravureSurfImage,GravureSurfTexte)*(IF(L25="",100,L25)/100)^2)*IFERROR(VLOOKUP(J25,GravureProcedeTable,2,FALSE),0)+IF(K25="image",FraisLogo,0)))</f>
        <v/>
      </c>
      <c r="Y25" s="17">
        <f>IF(B25="","",MainOeuvreBase+R25*MainOeuvreTaux)</f>
        <v/>
      </c>
      <c r="Z25" s="17">
        <f>IF(B25="","",SUM(T25:Y25))</f>
        <v/>
      </c>
      <c r="AA25" s="17">
        <f>IF(B25="","",IF(AND(N25="Oui",M25&gt;=SeuilB2B),"Oui (-"&amp;TauxRemiseB2B*100&amp;"%)","Non"))</f>
        <v/>
      </c>
      <c r="AB25" s="17">
        <f>IF(B25="","",IF(AND(N25="Oui",M25&gt;=SeuilB2B),Z25*(1-TauxRemiseB2B),Z25))</f>
        <v/>
      </c>
      <c r="AC25" s="17">
        <f>IF(B25="","",AB25*M25)</f>
        <v/>
      </c>
      <c r="AD25" s="17">
        <f>IF(B25="","",AC25*(1+TauxTVA))</f>
        <v/>
      </c>
    </row>
    <row r="26">
      <c r="M26" t="n">
        <v>1</v>
      </c>
      <c r="N26" t="inlineStr">
        <is>
          <t>Non</t>
        </is>
      </c>
      <c r="O26" s="14">
        <f>IF(B26="","",IF(B26="Sur mesure...",C26,VLOOKUP(B26,TailleVinsTable,2,FALSE)))</f>
        <v/>
      </c>
      <c r="P26" s="14">
        <f>IF(B26="","",IF(B26="Sur mesure...",D26,VLOOKUP(B26,TailleVinsTable,3,FALSE)))</f>
        <v/>
      </c>
      <c r="Q26" s="14">
        <f>IF(B26="","",IF(B26="Sur mesure...",E26,VLOOKUP(B26,TailleVinsTable,4,FALSE)))</f>
        <v/>
      </c>
      <c r="R26" s="15">
        <f>IF(B26="","",2*((O26*P26)+(O26*Q26)+(P26*Q26))/10000)</f>
        <v/>
      </c>
      <c r="S26" s="16">
        <f>IF(B26="","",R26*EpaisseurPanneau)</f>
        <v/>
      </c>
      <c r="T26" s="17">
        <f>IF(B26="","",S26*IFERROR(VLOOKUP(F26,EssenceTable,2,FALSE),0))</f>
        <v/>
      </c>
      <c r="U26" s="17">
        <f>IF(B26="","",IFERROR(VLOOKUP(G26,FinitionTable,2,FALSE),0)+R26*IFERROR(VLOOKUP(G26,FinitionTable,3,FALSE),0))</f>
        <v/>
      </c>
      <c r="V26" s="17">
        <f>IF(B26="","",IFERROR(VLOOKUP(H26,FermetureTable,2,FALSE),0))</f>
        <v/>
      </c>
      <c r="W26" s="17">
        <f>IF(B26="","",IFERROR(VLOOKUP(I26,CalesTable,2,FALSE),0))</f>
        <v/>
      </c>
      <c r="X26" s="17">
        <f>IF(B26="","",IF(OR(J26="",J26="Aucune"),0,(IF(K26="image",GravureSurfImage,GravureSurfTexte)*(IF(L26="",100,L26)/100)^2)*IFERROR(VLOOKUP(J26,GravureProcedeTable,2,FALSE),0)+IF(K26="image",FraisLogo,0)))</f>
        <v/>
      </c>
      <c r="Y26" s="17">
        <f>IF(B26="","",MainOeuvreBase+R26*MainOeuvreTaux)</f>
        <v/>
      </c>
      <c r="Z26" s="17">
        <f>IF(B26="","",SUM(T26:Y26))</f>
        <v/>
      </c>
      <c r="AA26" s="17">
        <f>IF(B26="","",IF(AND(N26="Oui",M26&gt;=SeuilB2B),"Oui (-"&amp;TauxRemiseB2B*100&amp;"%)","Non"))</f>
        <v/>
      </c>
      <c r="AB26" s="17">
        <f>IF(B26="","",IF(AND(N26="Oui",M26&gt;=SeuilB2B),Z26*(1-TauxRemiseB2B),Z26))</f>
        <v/>
      </c>
      <c r="AC26" s="17">
        <f>IF(B26="","",AB26*M26)</f>
        <v/>
      </c>
      <c r="AD26" s="17">
        <f>IF(B26="","",AC26*(1+TauxTVA))</f>
        <v/>
      </c>
    </row>
    <row r="27">
      <c r="A27" s="18" t="inlineStr">
        <is>
          <t>TOTAL COMMANDE</t>
        </is>
      </c>
      <c r="AC27" s="19">
        <f>SUM(AC2:AC26)</f>
        <v/>
      </c>
      <c r="AD27" s="19">
        <f>SUM(AD2:AD26)</f>
        <v/>
      </c>
    </row>
  </sheetData>
  <dataValidations count="8">
    <dataValidation sqref="B2:B26" showDropDown="0" showInputMessage="0" showErrorMessage="0" allowBlank="1" type="list">
      <formula1>TailleVinsListe</formula1>
    </dataValidation>
    <dataValidation sqref="F2:F26" showDropDown="0" showInputMessage="0" showErrorMessage="0" allowBlank="1" type="list">
      <formula1>EssenceListe</formula1>
    </dataValidation>
    <dataValidation sqref="G2:G26" showDropDown="0" showInputMessage="0" showErrorMessage="0" allowBlank="1" type="list">
      <formula1>FinitionListe</formula1>
    </dataValidation>
    <dataValidation sqref="H2:H26" showDropDown="0" showInputMessage="0" showErrorMessage="0" allowBlank="1" type="list">
      <formula1>FermetureListe</formula1>
    </dataValidation>
    <dataValidation sqref="I2:I26" showDropDown="0" showInputMessage="0" showErrorMessage="0" allowBlank="1" type="list">
      <formula1>CalesListe</formula1>
    </dataValidation>
    <dataValidation sqref="J2:J26" showDropDown="0" showInputMessage="0" showErrorMessage="0" allowBlank="1" type="list">
      <formula1>GravureProcedeListe</formula1>
    </dataValidation>
    <dataValidation sqref="K2:K26" showDropDown="0" showInputMessage="0" showErrorMessage="0" allowBlank="1" type="list">
      <formula1>"texte,image"</formula1>
    </dataValidation>
    <dataValidation sqref="N2:N26" showDropDown="0" showInputMessage="0" showErrorMessage="0" allowBlank="1" type="list">
      <formula1>"Oui,Non"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7"/>
  <sheetViews>
    <sheetView showGridLines="0" zoomScale="90" workbookViewId="0">
      <pane xSplit="14" ySplit="1" topLeftCell="O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11" customWidth="1" min="3" max="3"/>
    <col width="11" customWidth="1" min="4" max="4"/>
    <col width="11" customWidth="1" min="5" max="5"/>
    <col width="13" customWidth="1" min="6" max="6"/>
    <col width="14" customWidth="1" min="7" max="7"/>
    <col width="30" customWidth="1" min="8" max="8"/>
    <col width="14" customWidth="1" min="9" max="9"/>
    <col width="18" customWidth="1" min="10" max="10"/>
    <col width="12" customWidth="1" min="11" max="11"/>
    <col width="12" customWidth="1" min="12" max="12"/>
    <col width="10"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4" customWidth="1" min="22" max="22"/>
    <col width="12" customWidth="1" min="23" max="23"/>
    <col width="12" customWidth="1" min="24" max="24"/>
    <col width="13" customWidth="1" min="25" max="25"/>
    <col width="15" customWidth="1" min="26" max="26"/>
    <col width="15" customWidth="1" min="27" max="27"/>
    <col width="15" customWidth="1" min="28" max="28"/>
    <col width="12" customWidth="1" min="29" max="29"/>
    <col width="13" customWidth="1" min="30" max="30"/>
  </cols>
  <sheetData>
    <row r="1" ht="42" customHeight="1">
      <c r="A1" s="12" t="inlineStr">
        <is>
          <t>Désignation (repère libre)</t>
        </is>
      </c>
      <c r="B1" s="12" t="inlineStr">
        <is>
          <t>Taille</t>
        </is>
      </c>
      <c r="C1" s="12" t="inlineStr">
        <is>
          <t>L manuel (cm)</t>
        </is>
      </c>
      <c r="D1" s="12" t="inlineStr">
        <is>
          <t>l manuel (cm)</t>
        </is>
      </c>
      <c r="E1" s="12" t="inlineStr">
        <is>
          <t>h manuel (cm)</t>
        </is>
      </c>
      <c r="F1" s="12" t="inlineStr">
        <is>
          <t>Essence</t>
        </is>
      </c>
      <c r="G1" s="12" t="inlineStr">
        <is>
          <t>Finition</t>
        </is>
      </c>
      <c r="H1" s="12" t="inlineStr">
        <is>
          <t>Fermeture</t>
        </is>
      </c>
      <c r="I1" s="12" t="inlineStr">
        <is>
          <t>Doublure</t>
        </is>
      </c>
      <c r="J1" s="12" t="inlineStr">
        <is>
          <t>Gravure — procédé</t>
        </is>
      </c>
      <c r="K1" s="12" t="inlineStr">
        <is>
          <t>Gravure — mode</t>
        </is>
      </c>
      <c r="L1" s="12" t="inlineStr">
        <is>
          <t>Gravure — taille curseur (%)</t>
        </is>
      </c>
      <c r="M1" s="12" t="inlineStr">
        <is>
          <t>Quantité</t>
        </is>
      </c>
      <c r="N1" s="12" t="inlineStr">
        <is>
          <t>Client B2B ?</t>
        </is>
      </c>
      <c r="O1" s="13" t="inlineStr">
        <is>
          <t>L retenue (cm)</t>
        </is>
      </c>
      <c r="P1" s="13" t="inlineStr">
        <is>
          <t>l retenue (cm)</t>
        </is>
      </c>
      <c r="Q1" s="13" t="inlineStr">
        <is>
          <t>h retenue (cm)</t>
        </is>
      </c>
      <c r="R1" s="13" t="inlineStr">
        <is>
          <t>Surface développée (m²)</t>
        </is>
      </c>
      <c r="S1" s="13" t="inlineStr">
        <is>
          <t>Volume bois (m³)</t>
        </is>
      </c>
      <c r="T1" s="13" t="inlineStr">
        <is>
          <t>Prix matière (€)</t>
        </is>
      </c>
      <c r="U1" s="13" t="inlineStr">
        <is>
          <t>Prix finition (€)</t>
        </is>
      </c>
      <c r="V1" s="13" t="inlineStr">
        <is>
          <t>Prix quincaillerie (€)</t>
        </is>
      </c>
      <c r="W1" s="13" t="inlineStr">
        <is>
          <t>Prix doublure (€)</t>
        </is>
      </c>
      <c r="X1" s="13" t="inlineStr">
        <is>
          <t>Prix gravure (€)</t>
        </is>
      </c>
      <c r="Y1" s="13" t="inlineStr">
        <is>
          <t>Main d'œuvre (€)</t>
        </is>
      </c>
      <c r="Z1" s="13" t="inlineStr">
        <is>
          <t>Prix unitaire HT avant remise (€)</t>
        </is>
      </c>
      <c r="AA1" s="13" t="inlineStr">
        <is>
          <t>Remise B2B appliquée</t>
        </is>
      </c>
      <c r="AB1" s="13" t="inlineStr">
        <is>
          <t>Prix unitaire HT après remise (€)</t>
        </is>
      </c>
      <c r="AC1" s="13" t="inlineStr">
        <is>
          <t>Total HT ligne (€)</t>
        </is>
      </c>
      <c r="AD1" s="13" t="inlineStr">
        <is>
          <t>Total TTC ligne (€)</t>
        </is>
      </c>
    </row>
    <row r="2">
      <c r="M2" t="n">
        <v>1</v>
      </c>
      <c r="N2" t="inlineStr">
        <is>
          <t>Non</t>
        </is>
      </c>
      <c r="O2" s="14">
        <f>IF(B2="","",IF(B2="Sur mesure...",C2,VLOOKUP(B2,TailleCoffretTable,2,FALSE)))</f>
        <v/>
      </c>
      <c r="P2" s="14">
        <f>IF(B2="","",IF(B2="Sur mesure...",D2,VLOOKUP(B2,TailleCoffretTable,3,FALSE)))</f>
        <v/>
      </c>
      <c r="Q2" s="14">
        <f>IF(B2="","",IF(B2="Sur mesure...",E2,VLOOKUP(B2,TailleCoffretTable,4,FALSE)))</f>
        <v/>
      </c>
      <c r="R2" s="15">
        <f>IF(B2="","",2*((O2*P2)+(O2*Q2)+(P2*Q2))/10000)</f>
        <v/>
      </c>
      <c r="S2" s="16">
        <f>IF(B2="","",R2*EpaisseurPanneau)</f>
        <v/>
      </c>
      <c r="T2" s="17">
        <f>IF(B2="","",S2*IFERROR(VLOOKUP(F2,EssenceTable,2,FALSE),0))</f>
        <v/>
      </c>
      <c r="U2" s="17">
        <f>IF(B2="","",IFERROR(VLOOKUP(G2,FinitionTable,2,FALSE),0)+R2*IFERROR(VLOOKUP(G2,FinitionTable,3,FALSE),0))</f>
        <v/>
      </c>
      <c r="V2" s="17">
        <f>IF(B2="","",IFERROR(VLOOKUP(H2,FermetureTable,2,FALSE),0))</f>
        <v/>
      </c>
      <c r="W2" s="17">
        <f>IF(B2="","",IFERROR(VLOOKUP(I2,DoublureTable,2,FALSE),0))</f>
        <v/>
      </c>
      <c r="X2" s="17">
        <f>IF(B2="","",IF(OR(J2="",J2="Aucune"),0,(IF(K2="image",GravureSurfImage,GravureSurfTexte)*(IF(L2="",100,L2)/100)^2)*IFERROR(VLOOKUP(J2,GravureProcedeTable,2,FALSE),0)+IF(K2="image",FraisLogo,0)))</f>
        <v/>
      </c>
      <c r="Y2" s="17">
        <f>IF(B2="","",MainOeuvreBase+R2*MainOeuvreTaux)</f>
        <v/>
      </c>
      <c r="Z2" s="17">
        <f>IF(B2="","",SUM(T2:Y2))</f>
        <v/>
      </c>
      <c r="AA2" s="17">
        <f>IF(B2="","",IF(AND(N2="Oui",M2&gt;=SeuilB2B),"Oui (-"&amp;TauxRemiseB2B*100&amp;"%)","Non"))</f>
        <v/>
      </c>
      <c r="AB2" s="17">
        <f>IF(B2="","",IF(AND(N2="Oui",M2&gt;=SeuilB2B),Z2*(1-TauxRemiseB2B),Z2))</f>
        <v/>
      </c>
      <c r="AC2" s="17">
        <f>IF(B2="","",AB2*M2)</f>
        <v/>
      </c>
      <c r="AD2" s="17">
        <f>IF(B2="","",AC2*(1+TauxTVA))</f>
        <v/>
      </c>
    </row>
    <row r="3">
      <c r="M3" t="n">
        <v>1</v>
      </c>
      <c r="N3" t="inlineStr">
        <is>
          <t>Non</t>
        </is>
      </c>
      <c r="O3" s="14">
        <f>IF(B3="","",IF(B3="Sur mesure...",C3,VLOOKUP(B3,TailleCoffretTable,2,FALSE)))</f>
        <v/>
      </c>
      <c r="P3" s="14">
        <f>IF(B3="","",IF(B3="Sur mesure...",D3,VLOOKUP(B3,TailleCoffretTable,3,FALSE)))</f>
        <v/>
      </c>
      <c r="Q3" s="14">
        <f>IF(B3="","",IF(B3="Sur mesure...",E3,VLOOKUP(B3,TailleCoffretTable,4,FALSE)))</f>
        <v/>
      </c>
      <c r="R3" s="15">
        <f>IF(B3="","",2*((O3*P3)+(O3*Q3)+(P3*Q3))/10000)</f>
        <v/>
      </c>
      <c r="S3" s="16">
        <f>IF(B3="","",R3*EpaisseurPanneau)</f>
        <v/>
      </c>
      <c r="T3" s="17">
        <f>IF(B3="","",S3*IFERROR(VLOOKUP(F3,EssenceTable,2,FALSE),0))</f>
        <v/>
      </c>
      <c r="U3" s="17">
        <f>IF(B3="","",IFERROR(VLOOKUP(G3,FinitionTable,2,FALSE),0)+R3*IFERROR(VLOOKUP(G3,FinitionTable,3,FALSE),0))</f>
        <v/>
      </c>
      <c r="V3" s="17">
        <f>IF(B3="","",IFERROR(VLOOKUP(H3,FermetureTable,2,FALSE),0))</f>
        <v/>
      </c>
      <c r="W3" s="17">
        <f>IF(B3="","",IFERROR(VLOOKUP(I3,DoublureTable,2,FALSE),0))</f>
        <v/>
      </c>
      <c r="X3" s="17">
        <f>IF(B3="","",IF(OR(J3="",J3="Aucune"),0,(IF(K3="image",GravureSurfImage,GravureSurfTexte)*(IF(L3="",100,L3)/100)^2)*IFERROR(VLOOKUP(J3,GravureProcedeTable,2,FALSE),0)+IF(K3="image",FraisLogo,0)))</f>
        <v/>
      </c>
      <c r="Y3" s="17">
        <f>IF(B3="","",MainOeuvreBase+R3*MainOeuvreTaux)</f>
        <v/>
      </c>
      <c r="Z3" s="17">
        <f>IF(B3="","",SUM(T3:Y3))</f>
        <v/>
      </c>
      <c r="AA3" s="17">
        <f>IF(B3="","",IF(AND(N3="Oui",M3&gt;=SeuilB2B),"Oui (-"&amp;TauxRemiseB2B*100&amp;"%)","Non"))</f>
        <v/>
      </c>
      <c r="AB3" s="17">
        <f>IF(B3="","",IF(AND(N3="Oui",M3&gt;=SeuilB2B),Z3*(1-TauxRemiseB2B),Z3))</f>
        <v/>
      </c>
      <c r="AC3" s="17">
        <f>IF(B3="","",AB3*M3)</f>
        <v/>
      </c>
      <c r="AD3" s="17">
        <f>IF(B3="","",AC3*(1+TauxTVA))</f>
        <v/>
      </c>
    </row>
    <row r="4">
      <c r="M4" t="n">
        <v>1</v>
      </c>
      <c r="N4" t="inlineStr">
        <is>
          <t>Non</t>
        </is>
      </c>
      <c r="O4" s="14">
        <f>IF(B4="","",IF(B4="Sur mesure...",C4,VLOOKUP(B4,TailleCoffretTable,2,FALSE)))</f>
        <v/>
      </c>
      <c r="P4" s="14">
        <f>IF(B4="","",IF(B4="Sur mesure...",D4,VLOOKUP(B4,TailleCoffretTable,3,FALSE)))</f>
        <v/>
      </c>
      <c r="Q4" s="14">
        <f>IF(B4="","",IF(B4="Sur mesure...",E4,VLOOKUP(B4,TailleCoffretTable,4,FALSE)))</f>
        <v/>
      </c>
      <c r="R4" s="15">
        <f>IF(B4="","",2*((O4*P4)+(O4*Q4)+(P4*Q4))/10000)</f>
        <v/>
      </c>
      <c r="S4" s="16">
        <f>IF(B4="","",R4*EpaisseurPanneau)</f>
        <v/>
      </c>
      <c r="T4" s="17">
        <f>IF(B4="","",S4*IFERROR(VLOOKUP(F4,EssenceTable,2,FALSE),0))</f>
        <v/>
      </c>
      <c r="U4" s="17">
        <f>IF(B4="","",IFERROR(VLOOKUP(G4,FinitionTable,2,FALSE),0)+R4*IFERROR(VLOOKUP(G4,FinitionTable,3,FALSE),0))</f>
        <v/>
      </c>
      <c r="V4" s="17">
        <f>IF(B4="","",IFERROR(VLOOKUP(H4,FermetureTable,2,FALSE),0))</f>
        <v/>
      </c>
      <c r="W4" s="17">
        <f>IF(B4="","",IFERROR(VLOOKUP(I4,DoublureTable,2,FALSE),0))</f>
        <v/>
      </c>
      <c r="X4" s="17">
        <f>IF(B4="","",IF(OR(J4="",J4="Aucune"),0,(IF(K4="image",GravureSurfImage,GravureSurfTexte)*(IF(L4="",100,L4)/100)^2)*IFERROR(VLOOKUP(J4,GravureProcedeTable,2,FALSE),0)+IF(K4="image",FraisLogo,0)))</f>
        <v/>
      </c>
      <c r="Y4" s="17">
        <f>IF(B4="","",MainOeuvreBase+R4*MainOeuvreTaux)</f>
        <v/>
      </c>
      <c r="Z4" s="17">
        <f>IF(B4="","",SUM(T4:Y4))</f>
        <v/>
      </c>
      <c r="AA4" s="17">
        <f>IF(B4="","",IF(AND(N4="Oui",M4&gt;=SeuilB2B),"Oui (-"&amp;TauxRemiseB2B*100&amp;"%)","Non"))</f>
        <v/>
      </c>
      <c r="AB4" s="17">
        <f>IF(B4="","",IF(AND(N4="Oui",M4&gt;=SeuilB2B),Z4*(1-TauxRemiseB2B),Z4))</f>
        <v/>
      </c>
      <c r="AC4" s="17">
        <f>IF(B4="","",AB4*M4)</f>
        <v/>
      </c>
      <c r="AD4" s="17">
        <f>IF(B4="","",AC4*(1+TauxTVA))</f>
        <v/>
      </c>
    </row>
    <row r="5">
      <c r="M5" t="n">
        <v>1</v>
      </c>
      <c r="N5" t="inlineStr">
        <is>
          <t>Non</t>
        </is>
      </c>
      <c r="O5" s="14">
        <f>IF(B5="","",IF(B5="Sur mesure...",C5,VLOOKUP(B5,TailleCoffretTable,2,FALSE)))</f>
        <v/>
      </c>
      <c r="P5" s="14">
        <f>IF(B5="","",IF(B5="Sur mesure...",D5,VLOOKUP(B5,TailleCoffretTable,3,FALSE)))</f>
        <v/>
      </c>
      <c r="Q5" s="14">
        <f>IF(B5="","",IF(B5="Sur mesure...",E5,VLOOKUP(B5,TailleCoffretTable,4,FALSE)))</f>
        <v/>
      </c>
      <c r="R5" s="15">
        <f>IF(B5="","",2*((O5*P5)+(O5*Q5)+(P5*Q5))/10000)</f>
        <v/>
      </c>
      <c r="S5" s="16">
        <f>IF(B5="","",R5*EpaisseurPanneau)</f>
        <v/>
      </c>
      <c r="T5" s="17">
        <f>IF(B5="","",S5*IFERROR(VLOOKUP(F5,EssenceTable,2,FALSE),0))</f>
        <v/>
      </c>
      <c r="U5" s="17">
        <f>IF(B5="","",IFERROR(VLOOKUP(G5,FinitionTable,2,FALSE),0)+R5*IFERROR(VLOOKUP(G5,FinitionTable,3,FALSE),0))</f>
        <v/>
      </c>
      <c r="V5" s="17">
        <f>IF(B5="","",IFERROR(VLOOKUP(H5,FermetureTable,2,FALSE),0))</f>
        <v/>
      </c>
      <c r="W5" s="17">
        <f>IF(B5="","",IFERROR(VLOOKUP(I5,DoublureTable,2,FALSE),0))</f>
        <v/>
      </c>
      <c r="X5" s="17">
        <f>IF(B5="","",IF(OR(J5="",J5="Aucune"),0,(IF(K5="image",GravureSurfImage,GravureSurfTexte)*(IF(L5="",100,L5)/100)^2)*IFERROR(VLOOKUP(J5,GravureProcedeTable,2,FALSE),0)+IF(K5="image",FraisLogo,0)))</f>
        <v/>
      </c>
      <c r="Y5" s="17">
        <f>IF(B5="","",MainOeuvreBase+R5*MainOeuvreTaux)</f>
        <v/>
      </c>
      <c r="Z5" s="17">
        <f>IF(B5="","",SUM(T5:Y5))</f>
        <v/>
      </c>
      <c r="AA5" s="17">
        <f>IF(B5="","",IF(AND(N5="Oui",M5&gt;=SeuilB2B),"Oui (-"&amp;TauxRemiseB2B*100&amp;"%)","Non"))</f>
        <v/>
      </c>
      <c r="AB5" s="17">
        <f>IF(B5="","",IF(AND(N5="Oui",M5&gt;=SeuilB2B),Z5*(1-TauxRemiseB2B),Z5))</f>
        <v/>
      </c>
      <c r="AC5" s="17">
        <f>IF(B5="","",AB5*M5)</f>
        <v/>
      </c>
      <c r="AD5" s="17">
        <f>IF(B5="","",AC5*(1+TauxTVA))</f>
        <v/>
      </c>
    </row>
    <row r="6">
      <c r="M6" t="n">
        <v>1</v>
      </c>
      <c r="N6" t="inlineStr">
        <is>
          <t>Non</t>
        </is>
      </c>
      <c r="O6" s="14">
        <f>IF(B6="","",IF(B6="Sur mesure...",C6,VLOOKUP(B6,TailleCoffretTable,2,FALSE)))</f>
        <v/>
      </c>
      <c r="P6" s="14">
        <f>IF(B6="","",IF(B6="Sur mesure...",D6,VLOOKUP(B6,TailleCoffretTable,3,FALSE)))</f>
        <v/>
      </c>
      <c r="Q6" s="14">
        <f>IF(B6="","",IF(B6="Sur mesure...",E6,VLOOKUP(B6,TailleCoffretTable,4,FALSE)))</f>
        <v/>
      </c>
      <c r="R6" s="15">
        <f>IF(B6="","",2*((O6*P6)+(O6*Q6)+(P6*Q6))/10000)</f>
        <v/>
      </c>
      <c r="S6" s="16">
        <f>IF(B6="","",R6*EpaisseurPanneau)</f>
        <v/>
      </c>
      <c r="T6" s="17">
        <f>IF(B6="","",S6*IFERROR(VLOOKUP(F6,EssenceTable,2,FALSE),0))</f>
        <v/>
      </c>
      <c r="U6" s="17">
        <f>IF(B6="","",IFERROR(VLOOKUP(G6,FinitionTable,2,FALSE),0)+R6*IFERROR(VLOOKUP(G6,FinitionTable,3,FALSE),0))</f>
        <v/>
      </c>
      <c r="V6" s="17">
        <f>IF(B6="","",IFERROR(VLOOKUP(H6,FermetureTable,2,FALSE),0))</f>
        <v/>
      </c>
      <c r="W6" s="17">
        <f>IF(B6="","",IFERROR(VLOOKUP(I6,DoublureTable,2,FALSE),0))</f>
        <v/>
      </c>
      <c r="X6" s="17">
        <f>IF(B6="","",IF(OR(J6="",J6="Aucune"),0,(IF(K6="image",GravureSurfImage,GravureSurfTexte)*(IF(L6="",100,L6)/100)^2)*IFERROR(VLOOKUP(J6,GravureProcedeTable,2,FALSE),0)+IF(K6="image",FraisLogo,0)))</f>
        <v/>
      </c>
      <c r="Y6" s="17">
        <f>IF(B6="","",MainOeuvreBase+R6*MainOeuvreTaux)</f>
        <v/>
      </c>
      <c r="Z6" s="17">
        <f>IF(B6="","",SUM(T6:Y6))</f>
        <v/>
      </c>
      <c r="AA6" s="17">
        <f>IF(B6="","",IF(AND(N6="Oui",M6&gt;=SeuilB2B),"Oui (-"&amp;TauxRemiseB2B*100&amp;"%)","Non"))</f>
        <v/>
      </c>
      <c r="AB6" s="17">
        <f>IF(B6="","",IF(AND(N6="Oui",M6&gt;=SeuilB2B),Z6*(1-TauxRemiseB2B),Z6))</f>
        <v/>
      </c>
      <c r="AC6" s="17">
        <f>IF(B6="","",AB6*M6)</f>
        <v/>
      </c>
      <c r="AD6" s="17">
        <f>IF(B6="","",AC6*(1+TauxTVA))</f>
        <v/>
      </c>
    </row>
    <row r="7">
      <c r="M7" t="n">
        <v>1</v>
      </c>
      <c r="N7" t="inlineStr">
        <is>
          <t>Non</t>
        </is>
      </c>
      <c r="O7" s="14">
        <f>IF(B7="","",IF(B7="Sur mesure...",C7,VLOOKUP(B7,TailleCoffretTable,2,FALSE)))</f>
        <v/>
      </c>
      <c r="P7" s="14">
        <f>IF(B7="","",IF(B7="Sur mesure...",D7,VLOOKUP(B7,TailleCoffretTable,3,FALSE)))</f>
        <v/>
      </c>
      <c r="Q7" s="14">
        <f>IF(B7="","",IF(B7="Sur mesure...",E7,VLOOKUP(B7,TailleCoffretTable,4,FALSE)))</f>
        <v/>
      </c>
      <c r="R7" s="15">
        <f>IF(B7="","",2*((O7*P7)+(O7*Q7)+(P7*Q7))/10000)</f>
        <v/>
      </c>
      <c r="S7" s="16">
        <f>IF(B7="","",R7*EpaisseurPanneau)</f>
        <v/>
      </c>
      <c r="T7" s="17">
        <f>IF(B7="","",S7*IFERROR(VLOOKUP(F7,EssenceTable,2,FALSE),0))</f>
        <v/>
      </c>
      <c r="U7" s="17">
        <f>IF(B7="","",IFERROR(VLOOKUP(G7,FinitionTable,2,FALSE),0)+R7*IFERROR(VLOOKUP(G7,FinitionTable,3,FALSE),0))</f>
        <v/>
      </c>
      <c r="V7" s="17">
        <f>IF(B7="","",IFERROR(VLOOKUP(H7,FermetureTable,2,FALSE),0))</f>
        <v/>
      </c>
      <c r="W7" s="17">
        <f>IF(B7="","",IFERROR(VLOOKUP(I7,DoublureTable,2,FALSE),0))</f>
        <v/>
      </c>
      <c r="X7" s="17">
        <f>IF(B7="","",IF(OR(J7="",J7="Aucune"),0,(IF(K7="image",GravureSurfImage,GravureSurfTexte)*(IF(L7="",100,L7)/100)^2)*IFERROR(VLOOKUP(J7,GravureProcedeTable,2,FALSE),0)+IF(K7="image",FraisLogo,0)))</f>
        <v/>
      </c>
      <c r="Y7" s="17">
        <f>IF(B7="","",MainOeuvreBase+R7*MainOeuvreTaux)</f>
        <v/>
      </c>
      <c r="Z7" s="17">
        <f>IF(B7="","",SUM(T7:Y7))</f>
        <v/>
      </c>
      <c r="AA7" s="17">
        <f>IF(B7="","",IF(AND(N7="Oui",M7&gt;=SeuilB2B),"Oui (-"&amp;TauxRemiseB2B*100&amp;"%)","Non"))</f>
        <v/>
      </c>
      <c r="AB7" s="17">
        <f>IF(B7="","",IF(AND(N7="Oui",M7&gt;=SeuilB2B),Z7*(1-TauxRemiseB2B),Z7))</f>
        <v/>
      </c>
      <c r="AC7" s="17">
        <f>IF(B7="","",AB7*M7)</f>
        <v/>
      </c>
      <c r="AD7" s="17">
        <f>IF(B7="","",AC7*(1+TauxTVA))</f>
        <v/>
      </c>
    </row>
    <row r="8">
      <c r="M8" t="n">
        <v>1</v>
      </c>
      <c r="N8" t="inlineStr">
        <is>
          <t>Non</t>
        </is>
      </c>
      <c r="O8" s="14">
        <f>IF(B8="","",IF(B8="Sur mesure...",C8,VLOOKUP(B8,TailleCoffretTable,2,FALSE)))</f>
        <v/>
      </c>
      <c r="P8" s="14">
        <f>IF(B8="","",IF(B8="Sur mesure...",D8,VLOOKUP(B8,TailleCoffretTable,3,FALSE)))</f>
        <v/>
      </c>
      <c r="Q8" s="14">
        <f>IF(B8="","",IF(B8="Sur mesure...",E8,VLOOKUP(B8,TailleCoffretTable,4,FALSE)))</f>
        <v/>
      </c>
      <c r="R8" s="15">
        <f>IF(B8="","",2*((O8*P8)+(O8*Q8)+(P8*Q8))/10000)</f>
        <v/>
      </c>
      <c r="S8" s="16">
        <f>IF(B8="","",R8*EpaisseurPanneau)</f>
        <v/>
      </c>
      <c r="T8" s="17">
        <f>IF(B8="","",S8*IFERROR(VLOOKUP(F8,EssenceTable,2,FALSE),0))</f>
        <v/>
      </c>
      <c r="U8" s="17">
        <f>IF(B8="","",IFERROR(VLOOKUP(G8,FinitionTable,2,FALSE),0)+R8*IFERROR(VLOOKUP(G8,FinitionTable,3,FALSE),0))</f>
        <v/>
      </c>
      <c r="V8" s="17">
        <f>IF(B8="","",IFERROR(VLOOKUP(H8,FermetureTable,2,FALSE),0))</f>
        <v/>
      </c>
      <c r="W8" s="17">
        <f>IF(B8="","",IFERROR(VLOOKUP(I8,DoublureTable,2,FALSE),0))</f>
        <v/>
      </c>
      <c r="X8" s="17">
        <f>IF(B8="","",IF(OR(J8="",J8="Aucune"),0,(IF(K8="image",GravureSurfImage,GravureSurfTexte)*(IF(L8="",100,L8)/100)^2)*IFERROR(VLOOKUP(J8,GravureProcedeTable,2,FALSE),0)+IF(K8="image",FraisLogo,0)))</f>
        <v/>
      </c>
      <c r="Y8" s="17">
        <f>IF(B8="","",MainOeuvreBase+R8*MainOeuvreTaux)</f>
        <v/>
      </c>
      <c r="Z8" s="17">
        <f>IF(B8="","",SUM(T8:Y8))</f>
        <v/>
      </c>
      <c r="AA8" s="17">
        <f>IF(B8="","",IF(AND(N8="Oui",M8&gt;=SeuilB2B),"Oui (-"&amp;TauxRemiseB2B*100&amp;"%)","Non"))</f>
        <v/>
      </c>
      <c r="AB8" s="17">
        <f>IF(B8="","",IF(AND(N8="Oui",M8&gt;=SeuilB2B),Z8*(1-TauxRemiseB2B),Z8))</f>
        <v/>
      </c>
      <c r="AC8" s="17">
        <f>IF(B8="","",AB8*M8)</f>
        <v/>
      </c>
      <c r="AD8" s="17">
        <f>IF(B8="","",AC8*(1+TauxTVA))</f>
        <v/>
      </c>
    </row>
    <row r="9">
      <c r="M9" t="n">
        <v>1</v>
      </c>
      <c r="N9" t="inlineStr">
        <is>
          <t>Non</t>
        </is>
      </c>
      <c r="O9" s="14">
        <f>IF(B9="","",IF(B9="Sur mesure...",C9,VLOOKUP(B9,TailleCoffretTable,2,FALSE)))</f>
        <v/>
      </c>
      <c r="P9" s="14">
        <f>IF(B9="","",IF(B9="Sur mesure...",D9,VLOOKUP(B9,TailleCoffretTable,3,FALSE)))</f>
        <v/>
      </c>
      <c r="Q9" s="14">
        <f>IF(B9="","",IF(B9="Sur mesure...",E9,VLOOKUP(B9,TailleCoffretTable,4,FALSE)))</f>
        <v/>
      </c>
      <c r="R9" s="15">
        <f>IF(B9="","",2*((O9*P9)+(O9*Q9)+(P9*Q9))/10000)</f>
        <v/>
      </c>
      <c r="S9" s="16">
        <f>IF(B9="","",R9*EpaisseurPanneau)</f>
        <v/>
      </c>
      <c r="T9" s="17">
        <f>IF(B9="","",S9*IFERROR(VLOOKUP(F9,EssenceTable,2,FALSE),0))</f>
        <v/>
      </c>
      <c r="U9" s="17">
        <f>IF(B9="","",IFERROR(VLOOKUP(G9,FinitionTable,2,FALSE),0)+R9*IFERROR(VLOOKUP(G9,FinitionTable,3,FALSE),0))</f>
        <v/>
      </c>
      <c r="V9" s="17">
        <f>IF(B9="","",IFERROR(VLOOKUP(H9,FermetureTable,2,FALSE),0))</f>
        <v/>
      </c>
      <c r="W9" s="17">
        <f>IF(B9="","",IFERROR(VLOOKUP(I9,DoublureTable,2,FALSE),0))</f>
        <v/>
      </c>
      <c r="X9" s="17">
        <f>IF(B9="","",IF(OR(J9="",J9="Aucune"),0,(IF(K9="image",GravureSurfImage,GravureSurfTexte)*(IF(L9="",100,L9)/100)^2)*IFERROR(VLOOKUP(J9,GravureProcedeTable,2,FALSE),0)+IF(K9="image",FraisLogo,0)))</f>
        <v/>
      </c>
      <c r="Y9" s="17">
        <f>IF(B9="","",MainOeuvreBase+R9*MainOeuvreTaux)</f>
        <v/>
      </c>
      <c r="Z9" s="17">
        <f>IF(B9="","",SUM(T9:Y9))</f>
        <v/>
      </c>
      <c r="AA9" s="17">
        <f>IF(B9="","",IF(AND(N9="Oui",M9&gt;=SeuilB2B),"Oui (-"&amp;TauxRemiseB2B*100&amp;"%)","Non"))</f>
        <v/>
      </c>
      <c r="AB9" s="17">
        <f>IF(B9="","",IF(AND(N9="Oui",M9&gt;=SeuilB2B),Z9*(1-TauxRemiseB2B),Z9))</f>
        <v/>
      </c>
      <c r="AC9" s="17">
        <f>IF(B9="","",AB9*M9)</f>
        <v/>
      </c>
      <c r="AD9" s="17">
        <f>IF(B9="","",AC9*(1+TauxTVA))</f>
        <v/>
      </c>
    </row>
    <row r="10">
      <c r="M10" t="n">
        <v>1</v>
      </c>
      <c r="N10" t="inlineStr">
        <is>
          <t>Non</t>
        </is>
      </c>
      <c r="O10" s="14">
        <f>IF(B10="","",IF(B10="Sur mesure...",C10,VLOOKUP(B10,TailleCoffretTable,2,FALSE)))</f>
        <v/>
      </c>
      <c r="P10" s="14">
        <f>IF(B10="","",IF(B10="Sur mesure...",D10,VLOOKUP(B10,TailleCoffretTable,3,FALSE)))</f>
        <v/>
      </c>
      <c r="Q10" s="14">
        <f>IF(B10="","",IF(B10="Sur mesure...",E10,VLOOKUP(B10,TailleCoffretTable,4,FALSE)))</f>
        <v/>
      </c>
      <c r="R10" s="15">
        <f>IF(B10="","",2*((O10*P10)+(O10*Q10)+(P10*Q10))/10000)</f>
        <v/>
      </c>
      <c r="S10" s="16">
        <f>IF(B10="","",R10*EpaisseurPanneau)</f>
        <v/>
      </c>
      <c r="T10" s="17">
        <f>IF(B10="","",S10*IFERROR(VLOOKUP(F10,EssenceTable,2,FALSE),0))</f>
        <v/>
      </c>
      <c r="U10" s="17">
        <f>IF(B10="","",IFERROR(VLOOKUP(G10,FinitionTable,2,FALSE),0)+R10*IFERROR(VLOOKUP(G10,FinitionTable,3,FALSE),0))</f>
        <v/>
      </c>
      <c r="V10" s="17">
        <f>IF(B10="","",IFERROR(VLOOKUP(H10,FermetureTable,2,FALSE),0))</f>
        <v/>
      </c>
      <c r="W10" s="17">
        <f>IF(B10="","",IFERROR(VLOOKUP(I10,DoublureTable,2,FALSE),0))</f>
        <v/>
      </c>
      <c r="X10" s="17">
        <f>IF(B10="","",IF(OR(J10="",J10="Aucune"),0,(IF(K10="image",GravureSurfImage,GravureSurfTexte)*(IF(L10="",100,L10)/100)^2)*IFERROR(VLOOKUP(J10,GravureProcedeTable,2,FALSE),0)+IF(K10="image",FraisLogo,0)))</f>
        <v/>
      </c>
      <c r="Y10" s="17">
        <f>IF(B10="","",MainOeuvreBase+R10*MainOeuvreTaux)</f>
        <v/>
      </c>
      <c r="Z10" s="17">
        <f>IF(B10="","",SUM(T10:Y10))</f>
        <v/>
      </c>
      <c r="AA10" s="17">
        <f>IF(B10="","",IF(AND(N10="Oui",M10&gt;=SeuilB2B),"Oui (-"&amp;TauxRemiseB2B*100&amp;"%)","Non"))</f>
        <v/>
      </c>
      <c r="AB10" s="17">
        <f>IF(B10="","",IF(AND(N10="Oui",M10&gt;=SeuilB2B),Z10*(1-TauxRemiseB2B),Z10))</f>
        <v/>
      </c>
      <c r="AC10" s="17">
        <f>IF(B10="","",AB10*M10)</f>
        <v/>
      </c>
      <c r="AD10" s="17">
        <f>IF(B10="","",AC10*(1+TauxTVA))</f>
        <v/>
      </c>
    </row>
    <row r="11">
      <c r="M11" t="n">
        <v>1</v>
      </c>
      <c r="N11" t="inlineStr">
        <is>
          <t>Non</t>
        </is>
      </c>
      <c r="O11" s="14">
        <f>IF(B11="","",IF(B11="Sur mesure...",C11,VLOOKUP(B11,TailleCoffretTable,2,FALSE)))</f>
        <v/>
      </c>
      <c r="P11" s="14">
        <f>IF(B11="","",IF(B11="Sur mesure...",D11,VLOOKUP(B11,TailleCoffretTable,3,FALSE)))</f>
        <v/>
      </c>
      <c r="Q11" s="14">
        <f>IF(B11="","",IF(B11="Sur mesure...",E11,VLOOKUP(B11,TailleCoffretTable,4,FALSE)))</f>
        <v/>
      </c>
      <c r="R11" s="15">
        <f>IF(B11="","",2*((O11*P11)+(O11*Q11)+(P11*Q11))/10000)</f>
        <v/>
      </c>
      <c r="S11" s="16">
        <f>IF(B11="","",R11*EpaisseurPanneau)</f>
        <v/>
      </c>
      <c r="T11" s="17">
        <f>IF(B11="","",S11*IFERROR(VLOOKUP(F11,EssenceTable,2,FALSE),0))</f>
        <v/>
      </c>
      <c r="U11" s="17">
        <f>IF(B11="","",IFERROR(VLOOKUP(G11,FinitionTable,2,FALSE),0)+R11*IFERROR(VLOOKUP(G11,FinitionTable,3,FALSE),0))</f>
        <v/>
      </c>
      <c r="V11" s="17">
        <f>IF(B11="","",IFERROR(VLOOKUP(H11,FermetureTable,2,FALSE),0))</f>
        <v/>
      </c>
      <c r="W11" s="17">
        <f>IF(B11="","",IFERROR(VLOOKUP(I11,DoublureTable,2,FALSE),0))</f>
        <v/>
      </c>
      <c r="X11" s="17">
        <f>IF(B11="","",IF(OR(J11="",J11="Aucune"),0,(IF(K11="image",GravureSurfImage,GravureSurfTexte)*(IF(L11="",100,L11)/100)^2)*IFERROR(VLOOKUP(J11,GravureProcedeTable,2,FALSE),0)+IF(K11="image",FraisLogo,0)))</f>
        <v/>
      </c>
      <c r="Y11" s="17">
        <f>IF(B11="","",MainOeuvreBase+R11*MainOeuvreTaux)</f>
        <v/>
      </c>
      <c r="Z11" s="17">
        <f>IF(B11="","",SUM(T11:Y11))</f>
        <v/>
      </c>
      <c r="AA11" s="17">
        <f>IF(B11="","",IF(AND(N11="Oui",M11&gt;=SeuilB2B),"Oui (-"&amp;TauxRemiseB2B*100&amp;"%)","Non"))</f>
        <v/>
      </c>
      <c r="AB11" s="17">
        <f>IF(B11="","",IF(AND(N11="Oui",M11&gt;=SeuilB2B),Z11*(1-TauxRemiseB2B),Z11))</f>
        <v/>
      </c>
      <c r="AC11" s="17">
        <f>IF(B11="","",AB11*M11)</f>
        <v/>
      </c>
      <c r="AD11" s="17">
        <f>IF(B11="","",AC11*(1+TauxTVA))</f>
        <v/>
      </c>
    </row>
    <row r="12">
      <c r="M12" t="n">
        <v>1</v>
      </c>
      <c r="N12" t="inlineStr">
        <is>
          <t>Non</t>
        </is>
      </c>
      <c r="O12" s="14">
        <f>IF(B12="","",IF(B12="Sur mesure...",C12,VLOOKUP(B12,TailleCoffretTable,2,FALSE)))</f>
        <v/>
      </c>
      <c r="P12" s="14">
        <f>IF(B12="","",IF(B12="Sur mesure...",D12,VLOOKUP(B12,TailleCoffretTable,3,FALSE)))</f>
        <v/>
      </c>
      <c r="Q12" s="14">
        <f>IF(B12="","",IF(B12="Sur mesure...",E12,VLOOKUP(B12,TailleCoffretTable,4,FALSE)))</f>
        <v/>
      </c>
      <c r="R12" s="15">
        <f>IF(B12="","",2*((O12*P12)+(O12*Q12)+(P12*Q12))/10000)</f>
        <v/>
      </c>
      <c r="S12" s="16">
        <f>IF(B12="","",R12*EpaisseurPanneau)</f>
        <v/>
      </c>
      <c r="T12" s="17">
        <f>IF(B12="","",S12*IFERROR(VLOOKUP(F12,EssenceTable,2,FALSE),0))</f>
        <v/>
      </c>
      <c r="U12" s="17">
        <f>IF(B12="","",IFERROR(VLOOKUP(G12,FinitionTable,2,FALSE),0)+R12*IFERROR(VLOOKUP(G12,FinitionTable,3,FALSE),0))</f>
        <v/>
      </c>
      <c r="V12" s="17">
        <f>IF(B12="","",IFERROR(VLOOKUP(H12,FermetureTable,2,FALSE),0))</f>
        <v/>
      </c>
      <c r="W12" s="17">
        <f>IF(B12="","",IFERROR(VLOOKUP(I12,DoublureTable,2,FALSE),0))</f>
        <v/>
      </c>
      <c r="X12" s="17">
        <f>IF(B12="","",IF(OR(J12="",J12="Aucune"),0,(IF(K12="image",GravureSurfImage,GravureSurfTexte)*(IF(L12="",100,L12)/100)^2)*IFERROR(VLOOKUP(J12,GravureProcedeTable,2,FALSE),0)+IF(K12="image",FraisLogo,0)))</f>
        <v/>
      </c>
      <c r="Y12" s="17">
        <f>IF(B12="","",MainOeuvreBase+R12*MainOeuvreTaux)</f>
        <v/>
      </c>
      <c r="Z12" s="17">
        <f>IF(B12="","",SUM(T12:Y12))</f>
        <v/>
      </c>
      <c r="AA12" s="17">
        <f>IF(B12="","",IF(AND(N12="Oui",M12&gt;=SeuilB2B),"Oui (-"&amp;TauxRemiseB2B*100&amp;"%)","Non"))</f>
        <v/>
      </c>
      <c r="AB12" s="17">
        <f>IF(B12="","",IF(AND(N12="Oui",M12&gt;=SeuilB2B),Z12*(1-TauxRemiseB2B),Z12))</f>
        <v/>
      </c>
      <c r="AC12" s="17">
        <f>IF(B12="","",AB12*M12)</f>
        <v/>
      </c>
      <c r="AD12" s="17">
        <f>IF(B12="","",AC12*(1+TauxTVA))</f>
        <v/>
      </c>
    </row>
    <row r="13">
      <c r="M13" t="n">
        <v>1</v>
      </c>
      <c r="N13" t="inlineStr">
        <is>
          <t>Non</t>
        </is>
      </c>
      <c r="O13" s="14">
        <f>IF(B13="","",IF(B13="Sur mesure...",C13,VLOOKUP(B13,TailleCoffretTable,2,FALSE)))</f>
        <v/>
      </c>
      <c r="P13" s="14">
        <f>IF(B13="","",IF(B13="Sur mesure...",D13,VLOOKUP(B13,TailleCoffretTable,3,FALSE)))</f>
        <v/>
      </c>
      <c r="Q13" s="14">
        <f>IF(B13="","",IF(B13="Sur mesure...",E13,VLOOKUP(B13,TailleCoffretTable,4,FALSE)))</f>
        <v/>
      </c>
      <c r="R13" s="15">
        <f>IF(B13="","",2*((O13*P13)+(O13*Q13)+(P13*Q13))/10000)</f>
        <v/>
      </c>
      <c r="S13" s="16">
        <f>IF(B13="","",R13*EpaisseurPanneau)</f>
        <v/>
      </c>
      <c r="T13" s="17">
        <f>IF(B13="","",S13*IFERROR(VLOOKUP(F13,EssenceTable,2,FALSE),0))</f>
        <v/>
      </c>
      <c r="U13" s="17">
        <f>IF(B13="","",IFERROR(VLOOKUP(G13,FinitionTable,2,FALSE),0)+R13*IFERROR(VLOOKUP(G13,FinitionTable,3,FALSE),0))</f>
        <v/>
      </c>
      <c r="V13" s="17">
        <f>IF(B13="","",IFERROR(VLOOKUP(H13,FermetureTable,2,FALSE),0))</f>
        <v/>
      </c>
      <c r="W13" s="17">
        <f>IF(B13="","",IFERROR(VLOOKUP(I13,DoublureTable,2,FALSE),0))</f>
        <v/>
      </c>
      <c r="X13" s="17">
        <f>IF(B13="","",IF(OR(J13="",J13="Aucune"),0,(IF(K13="image",GravureSurfImage,GravureSurfTexte)*(IF(L13="",100,L13)/100)^2)*IFERROR(VLOOKUP(J13,GravureProcedeTable,2,FALSE),0)+IF(K13="image",FraisLogo,0)))</f>
        <v/>
      </c>
      <c r="Y13" s="17">
        <f>IF(B13="","",MainOeuvreBase+R13*MainOeuvreTaux)</f>
        <v/>
      </c>
      <c r="Z13" s="17">
        <f>IF(B13="","",SUM(T13:Y13))</f>
        <v/>
      </c>
      <c r="AA13" s="17">
        <f>IF(B13="","",IF(AND(N13="Oui",M13&gt;=SeuilB2B),"Oui (-"&amp;TauxRemiseB2B*100&amp;"%)","Non"))</f>
        <v/>
      </c>
      <c r="AB13" s="17">
        <f>IF(B13="","",IF(AND(N13="Oui",M13&gt;=SeuilB2B),Z13*(1-TauxRemiseB2B),Z13))</f>
        <v/>
      </c>
      <c r="AC13" s="17">
        <f>IF(B13="","",AB13*M13)</f>
        <v/>
      </c>
      <c r="AD13" s="17">
        <f>IF(B13="","",AC13*(1+TauxTVA))</f>
        <v/>
      </c>
    </row>
    <row r="14">
      <c r="M14" t="n">
        <v>1</v>
      </c>
      <c r="N14" t="inlineStr">
        <is>
          <t>Non</t>
        </is>
      </c>
      <c r="O14" s="14">
        <f>IF(B14="","",IF(B14="Sur mesure...",C14,VLOOKUP(B14,TailleCoffretTable,2,FALSE)))</f>
        <v/>
      </c>
      <c r="P14" s="14">
        <f>IF(B14="","",IF(B14="Sur mesure...",D14,VLOOKUP(B14,TailleCoffretTable,3,FALSE)))</f>
        <v/>
      </c>
      <c r="Q14" s="14">
        <f>IF(B14="","",IF(B14="Sur mesure...",E14,VLOOKUP(B14,TailleCoffretTable,4,FALSE)))</f>
        <v/>
      </c>
      <c r="R14" s="15">
        <f>IF(B14="","",2*((O14*P14)+(O14*Q14)+(P14*Q14))/10000)</f>
        <v/>
      </c>
      <c r="S14" s="16">
        <f>IF(B14="","",R14*EpaisseurPanneau)</f>
        <v/>
      </c>
      <c r="T14" s="17">
        <f>IF(B14="","",S14*IFERROR(VLOOKUP(F14,EssenceTable,2,FALSE),0))</f>
        <v/>
      </c>
      <c r="U14" s="17">
        <f>IF(B14="","",IFERROR(VLOOKUP(G14,FinitionTable,2,FALSE),0)+R14*IFERROR(VLOOKUP(G14,FinitionTable,3,FALSE),0))</f>
        <v/>
      </c>
      <c r="V14" s="17">
        <f>IF(B14="","",IFERROR(VLOOKUP(H14,FermetureTable,2,FALSE),0))</f>
        <v/>
      </c>
      <c r="W14" s="17">
        <f>IF(B14="","",IFERROR(VLOOKUP(I14,DoublureTable,2,FALSE),0))</f>
        <v/>
      </c>
      <c r="X14" s="17">
        <f>IF(B14="","",IF(OR(J14="",J14="Aucune"),0,(IF(K14="image",GravureSurfImage,GravureSurfTexte)*(IF(L14="",100,L14)/100)^2)*IFERROR(VLOOKUP(J14,GravureProcedeTable,2,FALSE),0)+IF(K14="image",FraisLogo,0)))</f>
        <v/>
      </c>
      <c r="Y14" s="17">
        <f>IF(B14="","",MainOeuvreBase+R14*MainOeuvreTaux)</f>
        <v/>
      </c>
      <c r="Z14" s="17">
        <f>IF(B14="","",SUM(T14:Y14))</f>
        <v/>
      </c>
      <c r="AA14" s="17">
        <f>IF(B14="","",IF(AND(N14="Oui",M14&gt;=SeuilB2B),"Oui (-"&amp;TauxRemiseB2B*100&amp;"%)","Non"))</f>
        <v/>
      </c>
      <c r="AB14" s="17">
        <f>IF(B14="","",IF(AND(N14="Oui",M14&gt;=SeuilB2B),Z14*(1-TauxRemiseB2B),Z14))</f>
        <v/>
      </c>
      <c r="AC14" s="17">
        <f>IF(B14="","",AB14*M14)</f>
        <v/>
      </c>
      <c r="AD14" s="17">
        <f>IF(B14="","",AC14*(1+TauxTVA))</f>
        <v/>
      </c>
    </row>
    <row r="15">
      <c r="M15" t="n">
        <v>1</v>
      </c>
      <c r="N15" t="inlineStr">
        <is>
          <t>Non</t>
        </is>
      </c>
      <c r="O15" s="14">
        <f>IF(B15="","",IF(B15="Sur mesure...",C15,VLOOKUP(B15,TailleCoffretTable,2,FALSE)))</f>
        <v/>
      </c>
      <c r="P15" s="14">
        <f>IF(B15="","",IF(B15="Sur mesure...",D15,VLOOKUP(B15,TailleCoffretTable,3,FALSE)))</f>
        <v/>
      </c>
      <c r="Q15" s="14">
        <f>IF(B15="","",IF(B15="Sur mesure...",E15,VLOOKUP(B15,TailleCoffretTable,4,FALSE)))</f>
        <v/>
      </c>
      <c r="R15" s="15">
        <f>IF(B15="","",2*((O15*P15)+(O15*Q15)+(P15*Q15))/10000)</f>
        <v/>
      </c>
      <c r="S15" s="16">
        <f>IF(B15="","",R15*EpaisseurPanneau)</f>
        <v/>
      </c>
      <c r="T15" s="17">
        <f>IF(B15="","",S15*IFERROR(VLOOKUP(F15,EssenceTable,2,FALSE),0))</f>
        <v/>
      </c>
      <c r="U15" s="17">
        <f>IF(B15="","",IFERROR(VLOOKUP(G15,FinitionTable,2,FALSE),0)+R15*IFERROR(VLOOKUP(G15,FinitionTable,3,FALSE),0))</f>
        <v/>
      </c>
      <c r="V15" s="17">
        <f>IF(B15="","",IFERROR(VLOOKUP(H15,FermetureTable,2,FALSE),0))</f>
        <v/>
      </c>
      <c r="W15" s="17">
        <f>IF(B15="","",IFERROR(VLOOKUP(I15,DoublureTable,2,FALSE),0))</f>
        <v/>
      </c>
      <c r="X15" s="17">
        <f>IF(B15="","",IF(OR(J15="",J15="Aucune"),0,(IF(K15="image",GravureSurfImage,GravureSurfTexte)*(IF(L15="",100,L15)/100)^2)*IFERROR(VLOOKUP(J15,GravureProcedeTable,2,FALSE),0)+IF(K15="image",FraisLogo,0)))</f>
        <v/>
      </c>
      <c r="Y15" s="17">
        <f>IF(B15="","",MainOeuvreBase+R15*MainOeuvreTaux)</f>
        <v/>
      </c>
      <c r="Z15" s="17">
        <f>IF(B15="","",SUM(T15:Y15))</f>
        <v/>
      </c>
      <c r="AA15" s="17">
        <f>IF(B15="","",IF(AND(N15="Oui",M15&gt;=SeuilB2B),"Oui (-"&amp;TauxRemiseB2B*100&amp;"%)","Non"))</f>
        <v/>
      </c>
      <c r="AB15" s="17">
        <f>IF(B15="","",IF(AND(N15="Oui",M15&gt;=SeuilB2B),Z15*(1-TauxRemiseB2B),Z15))</f>
        <v/>
      </c>
      <c r="AC15" s="17">
        <f>IF(B15="","",AB15*M15)</f>
        <v/>
      </c>
      <c r="AD15" s="17">
        <f>IF(B15="","",AC15*(1+TauxTVA))</f>
        <v/>
      </c>
    </row>
    <row r="16">
      <c r="M16" t="n">
        <v>1</v>
      </c>
      <c r="N16" t="inlineStr">
        <is>
          <t>Non</t>
        </is>
      </c>
      <c r="O16" s="14">
        <f>IF(B16="","",IF(B16="Sur mesure...",C16,VLOOKUP(B16,TailleCoffretTable,2,FALSE)))</f>
        <v/>
      </c>
      <c r="P16" s="14">
        <f>IF(B16="","",IF(B16="Sur mesure...",D16,VLOOKUP(B16,TailleCoffretTable,3,FALSE)))</f>
        <v/>
      </c>
      <c r="Q16" s="14">
        <f>IF(B16="","",IF(B16="Sur mesure...",E16,VLOOKUP(B16,TailleCoffretTable,4,FALSE)))</f>
        <v/>
      </c>
      <c r="R16" s="15">
        <f>IF(B16="","",2*((O16*P16)+(O16*Q16)+(P16*Q16))/10000)</f>
        <v/>
      </c>
      <c r="S16" s="16">
        <f>IF(B16="","",R16*EpaisseurPanneau)</f>
        <v/>
      </c>
      <c r="T16" s="17">
        <f>IF(B16="","",S16*IFERROR(VLOOKUP(F16,EssenceTable,2,FALSE),0))</f>
        <v/>
      </c>
      <c r="U16" s="17">
        <f>IF(B16="","",IFERROR(VLOOKUP(G16,FinitionTable,2,FALSE),0)+R16*IFERROR(VLOOKUP(G16,FinitionTable,3,FALSE),0))</f>
        <v/>
      </c>
      <c r="V16" s="17">
        <f>IF(B16="","",IFERROR(VLOOKUP(H16,FermetureTable,2,FALSE),0))</f>
        <v/>
      </c>
      <c r="W16" s="17">
        <f>IF(B16="","",IFERROR(VLOOKUP(I16,DoublureTable,2,FALSE),0))</f>
        <v/>
      </c>
      <c r="X16" s="17">
        <f>IF(B16="","",IF(OR(J16="",J16="Aucune"),0,(IF(K16="image",GravureSurfImage,GravureSurfTexte)*(IF(L16="",100,L16)/100)^2)*IFERROR(VLOOKUP(J16,GravureProcedeTable,2,FALSE),0)+IF(K16="image",FraisLogo,0)))</f>
        <v/>
      </c>
      <c r="Y16" s="17">
        <f>IF(B16="","",MainOeuvreBase+R16*MainOeuvreTaux)</f>
        <v/>
      </c>
      <c r="Z16" s="17">
        <f>IF(B16="","",SUM(T16:Y16))</f>
        <v/>
      </c>
      <c r="AA16" s="17">
        <f>IF(B16="","",IF(AND(N16="Oui",M16&gt;=SeuilB2B),"Oui (-"&amp;TauxRemiseB2B*100&amp;"%)","Non"))</f>
        <v/>
      </c>
      <c r="AB16" s="17">
        <f>IF(B16="","",IF(AND(N16="Oui",M16&gt;=SeuilB2B),Z16*(1-TauxRemiseB2B),Z16))</f>
        <v/>
      </c>
      <c r="AC16" s="17">
        <f>IF(B16="","",AB16*M16)</f>
        <v/>
      </c>
      <c r="AD16" s="17">
        <f>IF(B16="","",AC16*(1+TauxTVA))</f>
        <v/>
      </c>
    </row>
    <row r="17">
      <c r="M17" t="n">
        <v>1</v>
      </c>
      <c r="N17" t="inlineStr">
        <is>
          <t>Non</t>
        </is>
      </c>
      <c r="O17" s="14">
        <f>IF(B17="","",IF(B17="Sur mesure...",C17,VLOOKUP(B17,TailleCoffretTable,2,FALSE)))</f>
        <v/>
      </c>
      <c r="P17" s="14">
        <f>IF(B17="","",IF(B17="Sur mesure...",D17,VLOOKUP(B17,TailleCoffretTable,3,FALSE)))</f>
        <v/>
      </c>
      <c r="Q17" s="14">
        <f>IF(B17="","",IF(B17="Sur mesure...",E17,VLOOKUP(B17,TailleCoffretTable,4,FALSE)))</f>
        <v/>
      </c>
      <c r="R17" s="15">
        <f>IF(B17="","",2*((O17*P17)+(O17*Q17)+(P17*Q17))/10000)</f>
        <v/>
      </c>
      <c r="S17" s="16">
        <f>IF(B17="","",R17*EpaisseurPanneau)</f>
        <v/>
      </c>
      <c r="T17" s="17">
        <f>IF(B17="","",S17*IFERROR(VLOOKUP(F17,EssenceTable,2,FALSE),0))</f>
        <v/>
      </c>
      <c r="U17" s="17">
        <f>IF(B17="","",IFERROR(VLOOKUP(G17,FinitionTable,2,FALSE),0)+R17*IFERROR(VLOOKUP(G17,FinitionTable,3,FALSE),0))</f>
        <v/>
      </c>
      <c r="V17" s="17">
        <f>IF(B17="","",IFERROR(VLOOKUP(H17,FermetureTable,2,FALSE),0))</f>
        <v/>
      </c>
      <c r="W17" s="17">
        <f>IF(B17="","",IFERROR(VLOOKUP(I17,DoublureTable,2,FALSE),0))</f>
        <v/>
      </c>
      <c r="X17" s="17">
        <f>IF(B17="","",IF(OR(J17="",J17="Aucune"),0,(IF(K17="image",GravureSurfImage,GravureSurfTexte)*(IF(L17="",100,L17)/100)^2)*IFERROR(VLOOKUP(J17,GravureProcedeTable,2,FALSE),0)+IF(K17="image",FraisLogo,0)))</f>
        <v/>
      </c>
      <c r="Y17" s="17">
        <f>IF(B17="","",MainOeuvreBase+R17*MainOeuvreTaux)</f>
        <v/>
      </c>
      <c r="Z17" s="17">
        <f>IF(B17="","",SUM(T17:Y17))</f>
        <v/>
      </c>
      <c r="AA17" s="17">
        <f>IF(B17="","",IF(AND(N17="Oui",M17&gt;=SeuilB2B),"Oui (-"&amp;TauxRemiseB2B*100&amp;"%)","Non"))</f>
        <v/>
      </c>
      <c r="AB17" s="17">
        <f>IF(B17="","",IF(AND(N17="Oui",M17&gt;=SeuilB2B),Z17*(1-TauxRemiseB2B),Z17))</f>
        <v/>
      </c>
      <c r="AC17" s="17">
        <f>IF(B17="","",AB17*M17)</f>
        <v/>
      </c>
      <c r="AD17" s="17">
        <f>IF(B17="","",AC17*(1+TauxTVA))</f>
        <v/>
      </c>
    </row>
    <row r="18">
      <c r="M18" t="n">
        <v>1</v>
      </c>
      <c r="N18" t="inlineStr">
        <is>
          <t>Non</t>
        </is>
      </c>
      <c r="O18" s="14">
        <f>IF(B18="","",IF(B18="Sur mesure...",C18,VLOOKUP(B18,TailleCoffretTable,2,FALSE)))</f>
        <v/>
      </c>
      <c r="P18" s="14">
        <f>IF(B18="","",IF(B18="Sur mesure...",D18,VLOOKUP(B18,TailleCoffretTable,3,FALSE)))</f>
        <v/>
      </c>
      <c r="Q18" s="14">
        <f>IF(B18="","",IF(B18="Sur mesure...",E18,VLOOKUP(B18,TailleCoffretTable,4,FALSE)))</f>
        <v/>
      </c>
      <c r="R18" s="15">
        <f>IF(B18="","",2*((O18*P18)+(O18*Q18)+(P18*Q18))/10000)</f>
        <v/>
      </c>
      <c r="S18" s="16">
        <f>IF(B18="","",R18*EpaisseurPanneau)</f>
        <v/>
      </c>
      <c r="T18" s="17">
        <f>IF(B18="","",S18*IFERROR(VLOOKUP(F18,EssenceTable,2,FALSE),0))</f>
        <v/>
      </c>
      <c r="U18" s="17">
        <f>IF(B18="","",IFERROR(VLOOKUP(G18,FinitionTable,2,FALSE),0)+R18*IFERROR(VLOOKUP(G18,FinitionTable,3,FALSE),0))</f>
        <v/>
      </c>
      <c r="V18" s="17">
        <f>IF(B18="","",IFERROR(VLOOKUP(H18,FermetureTable,2,FALSE),0))</f>
        <v/>
      </c>
      <c r="W18" s="17">
        <f>IF(B18="","",IFERROR(VLOOKUP(I18,DoublureTable,2,FALSE),0))</f>
        <v/>
      </c>
      <c r="X18" s="17">
        <f>IF(B18="","",IF(OR(J18="",J18="Aucune"),0,(IF(K18="image",GravureSurfImage,GravureSurfTexte)*(IF(L18="",100,L18)/100)^2)*IFERROR(VLOOKUP(J18,GravureProcedeTable,2,FALSE),0)+IF(K18="image",FraisLogo,0)))</f>
        <v/>
      </c>
      <c r="Y18" s="17">
        <f>IF(B18="","",MainOeuvreBase+R18*MainOeuvreTaux)</f>
        <v/>
      </c>
      <c r="Z18" s="17">
        <f>IF(B18="","",SUM(T18:Y18))</f>
        <v/>
      </c>
      <c r="AA18" s="17">
        <f>IF(B18="","",IF(AND(N18="Oui",M18&gt;=SeuilB2B),"Oui (-"&amp;TauxRemiseB2B*100&amp;"%)","Non"))</f>
        <v/>
      </c>
      <c r="AB18" s="17">
        <f>IF(B18="","",IF(AND(N18="Oui",M18&gt;=SeuilB2B),Z18*(1-TauxRemiseB2B),Z18))</f>
        <v/>
      </c>
      <c r="AC18" s="17">
        <f>IF(B18="","",AB18*M18)</f>
        <v/>
      </c>
      <c r="AD18" s="17">
        <f>IF(B18="","",AC18*(1+TauxTVA))</f>
        <v/>
      </c>
    </row>
    <row r="19">
      <c r="M19" t="n">
        <v>1</v>
      </c>
      <c r="N19" t="inlineStr">
        <is>
          <t>Non</t>
        </is>
      </c>
      <c r="O19" s="14">
        <f>IF(B19="","",IF(B19="Sur mesure...",C19,VLOOKUP(B19,TailleCoffretTable,2,FALSE)))</f>
        <v/>
      </c>
      <c r="P19" s="14">
        <f>IF(B19="","",IF(B19="Sur mesure...",D19,VLOOKUP(B19,TailleCoffretTable,3,FALSE)))</f>
        <v/>
      </c>
      <c r="Q19" s="14">
        <f>IF(B19="","",IF(B19="Sur mesure...",E19,VLOOKUP(B19,TailleCoffretTable,4,FALSE)))</f>
        <v/>
      </c>
      <c r="R19" s="15">
        <f>IF(B19="","",2*((O19*P19)+(O19*Q19)+(P19*Q19))/10000)</f>
        <v/>
      </c>
      <c r="S19" s="16">
        <f>IF(B19="","",R19*EpaisseurPanneau)</f>
        <v/>
      </c>
      <c r="T19" s="17">
        <f>IF(B19="","",S19*IFERROR(VLOOKUP(F19,EssenceTable,2,FALSE),0))</f>
        <v/>
      </c>
      <c r="U19" s="17">
        <f>IF(B19="","",IFERROR(VLOOKUP(G19,FinitionTable,2,FALSE),0)+R19*IFERROR(VLOOKUP(G19,FinitionTable,3,FALSE),0))</f>
        <v/>
      </c>
      <c r="V19" s="17">
        <f>IF(B19="","",IFERROR(VLOOKUP(H19,FermetureTable,2,FALSE),0))</f>
        <v/>
      </c>
      <c r="W19" s="17">
        <f>IF(B19="","",IFERROR(VLOOKUP(I19,DoublureTable,2,FALSE),0))</f>
        <v/>
      </c>
      <c r="X19" s="17">
        <f>IF(B19="","",IF(OR(J19="",J19="Aucune"),0,(IF(K19="image",GravureSurfImage,GravureSurfTexte)*(IF(L19="",100,L19)/100)^2)*IFERROR(VLOOKUP(J19,GravureProcedeTable,2,FALSE),0)+IF(K19="image",FraisLogo,0)))</f>
        <v/>
      </c>
      <c r="Y19" s="17">
        <f>IF(B19="","",MainOeuvreBase+R19*MainOeuvreTaux)</f>
        <v/>
      </c>
      <c r="Z19" s="17">
        <f>IF(B19="","",SUM(T19:Y19))</f>
        <v/>
      </c>
      <c r="AA19" s="17">
        <f>IF(B19="","",IF(AND(N19="Oui",M19&gt;=SeuilB2B),"Oui (-"&amp;TauxRemiseB2B*100&amp;"%)","Non"))</f>
        <v/>
      </c>
      <c r="AB19" s="17">
        <f>IF(B19="","",IF(AND(N19="Oui",M19&gt;=SeuilB2B),Z19*(1-TauxRemiseB2B),Z19))</f>
        <v/>
      </c>
      <c r="AC19" s="17">
        <f>IF(B19="","",AB19*M19)</f>
        <v/>
      </c>
      <c r="AD19" s="17">
        <f>IF(B19="","",AC19*(1+TauxTVA))</f>
        <v/>
      </c>
    </row>
    <row r="20">
      <c r="M20" t="n">
        <v>1</v>
      </c>
      <c r="N20" t="inlineStr">
        <is>
          <t>Non</t>
        </is>
      </c>
      <c r="O20" s="14">
        <f>IF(B20="","",IF(B20="Sur mesure...",C20,VLOOKUP(B20,TailleCoffretTable,2,FALSE)))</f>
        <v/>
      </c>
      <c r="P20" s="14">
        <f>IF(B20="","",IF(B20="Sur mesure...",D20,VLOOKUP(B20,TailleCoffretTable,3,FALSE)))</f>
        <v/>
      </c>
      <c r="Q20" s="14">
        <f>IF(B20="","",IF(B20="Sur mesure...",E20,VLOOKUP(B20,TailleCoffretTable,4,FALSE)))</f>
        <v/>
      </c>
      <c r="R20" s="15">
        <f>IF(B20="","",2*((O20*P20)+(O20*Q20)+(P20*Q20))/10000)</f>
        <v/>
      </c>
      <c r="S20" s="16">
        <f>IF(B20="","",R20*EpaisseurPanneau)</f>
        <v/>
      </c>
      <c r="T20" s="17">
        <f>IF(B20="","",S20*IFERROR(VLOOKUP(F20,EssenceTable,2,FALSE),0))</f>
        <v/>
      </c>
      <c r="U20" s="17">
        <f>IF(B20="","",IFERROR(VLOOKUP(G20,FinitionTable,2,FALSE),0)+R20*IFERROR(VLOOKUP(G20,FinitionTable,3,FALSE),0))</f>
        <v/>
      </c>
      <c r="V20" s="17">
        <f>IF(B20="","",IFERROR(VLOOKUP(H20,FermetureTable,2,FALSE),0))</f>
        <v/>
      </c>
      <c r="W20" s="17">
        <f>IF(B20="","",IFERROR(VLOOKUP(I20,DoublureTable,2,FALSE),0))</f>
        <v/>
      </c>
      <c r="X20" s="17">
        <f>IF(B20="","",IF(OR(J20="",J20="Aucune"),0,(IF(K20="image",GravureSurfImage,GravureSurfTexte)*(IF(L20="",100,L20)/100)^2)*IFERROR(VLOOKUP(J20,GravureProcedeTable,2,FALSE),0)+IF(K20="image",FraisLogo,0)))</f>
        <v/>
      </c>
      <c r="Y20" s="17">
        <f>IF(B20="","",MainOeuvreBase+R20*MainOeuvreTaux)</f>
        <v/>
      </c>
      <c r="Z20" s="17">
        <f>IF(B20="","",SUM(T20:Y20))</f>
        <v/>
      </c>
      <c r="AA20" s="17">
        <f>IF(B20="","",IF(AND(N20="Oui",M20&gt;=SeuilB2B),"Oui (-"&amp;TauxRemiseB2B*100&amp;"%)","Non"))</f>
        <v/>
      </c>
      <c r="AB20" s="17">
        <f>IF(B20="","",IF(AND(N20="Oui",M20&gt;=SeuilB2B),Z20*(1-TauxRemiseB2B),Z20))</f>
        <v/>
      </c>
      <c r="AC20" s="17">
        <f>IF(B20="","",AB20*M20)</f>
        <v/>
      </c>
      <c r="AD20" s="17">
        <f>IF(B20="","",AC20*(1+TauxTVA))</f>
        <v/>
      </c>
    </row>
    <row r="21">
      <c r="M21" t="n">
        <v>1</v>
      </c>
      <c r="N21" t="inlineStr">
        <is>
          <t>Non</t>
        </is>
      </c>
      <c r="O21" s="14">
        <f>IF(B21="","",IF(B21="Sur mesure...",C21,VLOOKUP(B21,TailleCoffretTable,2,FALSE)))</f>
        <v/>
      </c>
      <c r="P21" s="14">
        <f>IF(B21="","",IF(B21="Sur mesure...",D21,VLOOKUP(B21,TailleCoffretTable,3,FALSE)))</f>
        <v/>
      </c>
      <c r="Q21" s="14">
        <f>IF(B21="","",IF(B21="Sur mesure...",E21,VLOOKUP(B21,TailleCoffretTable,4,FALSE)))</f>
        <v/>
      </c>
      <c r="R21" s="15">
        <f>IF(B21="","",2*((O21*P21)+(O21*Q21)+(P21*Q21))/10000)</f>
        <v/>
      </c>
      <c r="S21" s="16">
        <f>IF(B21="","",R21*EpaisseurPanneau)</f>
        <v/>
      </c>
      <c r="T21" s="17">
        <f>IF(B21="","",S21*IFERROR(VLOOKUP(F21,EssenceTable,2,FALSE),0))</f>
        <v/>
      </c>
      <c r="U21" s="17">
        <f>IF(B21="","",IFERROR(VLOOKUP(G21,FinitionTable,2,FALSE),0)+R21*IFERROR(VLOOKUP(G21,FinitionTable,3,FALSE),0))</f>
        <v/>
      </c>
      <c r="V21" s="17">
        <f>IF(B21="","",IFERROR(VLOOKUP(H21,FermetureTable,2,FALSE),0))</f>
        <v/>
      </c>
      <c r="W21" s="17">
        <f>IF(B21="","",IFERROR(VLOOKUP(I21,DoublureTable,2,FALSE),0))</f>
        <v/>
      </c>
      <c r="X21" s="17">
        <f>IF(B21="","",IF(OR(J21="",J21="Aucune"),0,(IF(K21="image",GravureSurfImage,GravureSurfTexte)*(IF(L21="",100,L21)/100)^2)*IFERROR(VLOOKUP(J21,GravureProcedeTable,2,FALSE),0)+IF(K21="image",FraisLogo,0)))</f>
        <v/>
      </c>
      <c r="Y21" s="17">
        <f>IF(B21="","",MainOeuvreBase+R21*MainOeuvreTaux)</f>
        <v/>
      </c>
      <c r="Z21" s="17">
        <f>IF(B21="","",SUM(T21:Y21))</f>
        <v/>
      </c>
      <c r="AA21" s="17">
        <f>IF(B21="","",IF(AND(N21="Oui",M21&gt;=SeuilB2B),"Oui (-"&amp;TauxRemiseB2B*100&amp;"%)","Non"))</f>
        <v/>
      </c>
      <c r="AB21" s="17">
        <f>IF(B21="","",IF(AND(N21="Oui",M21&gt;=SeuilB2B),Z21*(1-TauxRemiseB2B),Z21))</f>
        <v/>
      </c>
      <c r="AC21" s="17">
        <f>IF(B21="","",AB21*M21)</f>
        <v/>
      </c>
      <c r="AD21" s="17">
        <f>IF(B21="","",AC21*(1+TauxTVA))</f>
        <v/>
      </c>
    </row>
    <row r="22">
      <c r="M22" t="n">
        <v>1</v>
      </c>
      <c r="N22" t="inlineStr">
        <is>
          <t>Non</t>
        </is>
      </c>
      <c r="O22" s="14">
        <f>IF(B22="","",IF(B22="Sur mesure...",C22,VLOOKUP(B22,TailleCoffretTable,2,FALSE)))</f>
        <v/>
      </c>
      <c r="P22" s="14">
        <f>IF(B22="","",IF(B22="Sur mesure...",D22,VLOOKUP(B22,TailleCoffretTable,3,FALSE)))</f>
        <v/>
      </c>
      <c r="Q22" s="14">
        <f>IF(B22="","",IF(B22="Sur mesure...",E22,VLOOKUP(B22,TailleCoffretTable,4,FALSE)))</f>
        <v/>
      </c>
      <c r="R22" s="15">
        <f>IF(B22="","",2*((O22*P22)+(O22*Q22)+(P22*Q22))/10000)</f>
        <v/>
      </c>
      <c r="S22" s="16">
        <f>IF(B22="","",R22*EpaisseurPanneau)</f>
        <v/>
      </c>
      <c r="T22" s="17">
        <f>IF(B22="","",S22*IFERROR(VLOOKUP(F22,EssenceTable,2,FALSE),0))</f>
        <v/>
      </c>
      <c r="U22" s="17">
        <f>IF(B22="","",IFERROR(VLOOKUP(G22,FinitionTable,2,FALSE),0)+R22*IFERROR(VLOOKUP(G22,FinitionTable,3,FALSE),0))</f>
        <v/>
      </c>
      <c r="V22" s="17">
        <f>IF(B22="","",IFERROR(VLOOKUP(H22,FermetureTable,2,FALSE),0))</f>
        <v/>
      </c>
      <c r="W22" s="17">
        <f>IF(B22="","",IFERROR(VLOOKUP(I22,DoublureTable,2,FALSE),0))</f>
        <v/>
      </c>
      <c r="X22" s="17">
        <f>IF(B22="","",IF(OR(J22="",J22="Aucune"),0,(IF(K22="image",GravureSurfImage,GravureSurfTexte)*(IF(L22="",100,L22)/100)^2)*IFERROR(VLOOKUP(J22,GravureProcedeTable,2,FALSE),0)+IF(K22="image",FraisLogo,0)))</f>
        <v/>
      </c>
      <c r="Y22" s="17">
        <f>IF(B22="","",MainOeuvreBase+R22*MainOeuvreTaux)</f>
        <v/>
      </c>
      <c r="Z22" s="17">
        <f>IF(B22="","",SUM(T22:Y22))</f>
        <v/>
      </c>
      <c r="AA22" s="17">
        <f>IF(B22="","",IF(AND(N22="Oui",M22&gt;=SeuilB2B),"Oui (-"&amp;TauxRemiseB2B*100&amp;"%)","Non"))</f>
        <v/>
      </c>
      <c r="AB22" s="17">
        <f>IF(B22="","",IF(AND(N22="Oui",M22&gt;=SeuilB2B),Z22*(1-TauxRemiseB2B),Z22))</f>
        <v/>
      </c>
      <c r="AC22" s="17">
        <f>IF(B22="","",AB22*M22)</f>
        <v/>
      </c>
      <c r="AD22" s="17">
        <f>IF(B22="","",AC22*(1+TauxTVA))</f>
        <v/>
      </c>
    </row>
    <row r="23">
      <c r="M23" t="n">
        <v>1</v>
      </c>
      <c r="N23" t="inlineStr">
        <is>
          <t>Non</t>
        </is>
      </c>
      <c r="O23" s="14">
        <f>IF(B23="","",IF(B23="Sur mesure...",C23,VLOOKUP(B23,TailleCoffretTable,2,FALSE)))</f>
        <v/>
      </c>
      <c r="P23" s="14">
        <f>IF(B23="","",IF(B23="Sur mesure...",D23,VLOOKUP(B23,TailleCoffretTable,3,FALSE)))</f>
        <v/>
      </c>
      <c r="Q23" s="14">
        <f>IF(B23="","",IF(B23="Sur mesure...",E23,VLOOKUP(B23,TailleCoffretTable,4,FALSE)))</f>
        <v/>
      </c>
      <c r="R23" s="15">
        <f>IF(B23="","",2*((O23*P23)+(O23*Q23)+(P23*Q23))/10000)</f>
        <v/>
      </c>
      <c r="S23" s="16">
        <f>IF(B23="","",R23*EpaisseurPanneau)</f>
        <v/>
      </c>
      <c r="T23" s="17">
        <f>IF(B23="","",S23*IFERROR(VLOOKUP(F23,EssenceTable,2,FALSE),0))</f>
        <v/>
      </c>
      <c r="U23" s="17">
        <f>IF(B23="","",IFERROR(VLOOKUP(G23,FinitionTable,2,FALSE),0)+R23*IFERROR(VLOOKUP(G23,FinitionTable,3,FALSE),0))</f>
        <v/>
      </c>
      <c r="V23" s="17">
        <f>IF(B23="","",IFERROR(VLOOKUP(H23,FermetureTable,2,FALSE),0))</f>
        <v/>
      </c>
      <c r="W23" s="17">
        <f>IF(B23="","",IFERROR(VLOOKUP(I23,DoublureTable,2,FALSE),0))</f>
        <v/>
      </c>
      <c r="X23" s="17">
        <f>IF(B23="","",IF(OR(J23="",J23="Aucune"),0,(IF(K23="image",GravureSurfImage,GravureSurfTexte)*(IF(L23="",100,L23)/100)^2)*IFERROR(VLOOKUP(J23,GravureProcedeTable,2,FALSE),0)+IF(K23="image",FraisLogo,0)))</f>
        <v/>
      </c>
      <c r="Y23" s="17">
        <f>IF(B23="","",MainOeuvreBase+R23*MainOeuvreTaux)</f>
        <v/>
      </c>
      <c r="Z23" s="17">
        <f>IF(B23="","",SUM(T23:Y23))</f>
        <v/>
      </c>
      <c r="AA23" s="17">
        <f>IF(B23="","",IF(AND(N23="Oui",M23&gt;=SeuilB2B),"Oui (-"&amp;TauxRemiseB2B*100&amp;"%)","Non"))</f>
        <v/>
      </c>
      <c r="AB23" s="17">
        <f>IF(B23="","",IF(AND(N23="Oui",M23&gt;=SeuilB2B),Z23*(1-TauxRemiseB2B),Z23))</f>
        <v/>
      </c>
      <c r="AC23" s="17">
        <f>IF(B23="","",AB23*M23)</f>
        <v/>
      </c>
      <c r="AD23" s="17">
        <f>IF(B23="","",AC23*(1+TauxTVA))</f>
        <v/>
      </c>
    </row>
    <row r="24">
      <c r="M24" t="n">
        <v>1</v>
      </c>
      <c r="N24" t="inlineStr">
        <is>
          <t>Non</t>
        </is>
      </c>
      <c r="O24" s="14">
        <f>IF(B24="","",IF(B24="Sur mesure...",C24,VLOOKUP(B24,TailleCoffretTable,2,FALSE)))</f>
        <v/>
      </c>
      <c r="P24" s="14">
        <f>IF(B24="","",IF(B24="Sur mesure...",D24,VLOOKUP(B24,TailleCoffretTable,3,FALSE)))</f>
        <v/>
      </c>
      <c r="Q24" s="14">
        <f>IF(B24="","",IF(B24="Sur mesure...",E24,VLOOKUP(B24,TailleCoffretTable,4,FALSE)))</f>
        <v/>
      </c>
      <c r="R24" s="15">
        <f>IF(B24="","",2*((O24*P24)+(O24*Q24)+(P24*Q24))/10000)</f>
        <v/>
      </c>
      <c r="S24" s="16">
        <f>IF(B24="","",R24*EpaisseurPanneau)</f>
        <v/>
      </c>
      <c r="T24" s="17">
        <f>IF(B24="","",S24*IFERROR(VLOOKUP(F24,EssenceTable,2,FALSE),0))</f>
        <v/>
      </c>
      <c r="U24" s="17">
        <f>IF(B24="","",IFERROR(VLOOKUP(G24,FinitionTable,2,FALSE),0)+R24*IFERROR(VLOOKUP(G24,FinitionTable,3,FALSE),0))</f>
        <v/>
      </c>
      <c r="V24" s="17">
        <f>IF(B24="","",IFERROR(VLOOKUP(H24,FermetureTable,2,FALSE),0))</f>
        <v/>
      </c>
      <c r="W24" s="17">
        <f>IF(B24="","",IFERROR(VLOOKUP(I24,DoublureTable,2,FALSE),0))</f>
        <v/>
      </c>
      <c r="X24" s="17">
        <f>IF(B24="","",IF(OR(J24="",J24="Aucune"),0,(IF(K24="image",GravureSurfImage,GravureSurfTexte)*(IF(L24="",100,L24)/100)^2)*IFERROR(VLOOKUP(J24,GravureProcedeTable,2,FALSE),0)+IF(K24="image",FraisLogo,0)))</f>
        <v/>
      </c>
      <c r="Y24" s="17">
        <f>IF(B24="","",MainOeuvreBase+R24*MainOeuvreTaux)</f>
        <v/>
      </c>
      <c r="Z24" s="17">
        <f>IF(B24="","",SUM(T24:Y24))</f>
        <v/>
      </c>
      <c r="AA24" s="17">
        <f>IF(B24="","",IF(AND(N24="Oui",M24&gt;=SeuilB2B),"Oui (-"&amp;TauxRemiseB2B*100&amp;"%)","Non"))</f>
        <v/>
      </c>
      <c r="AB24" s="17">
        <f>IF(B24="","",IF(AND(N24="Oui",M24&gt;=SeuilB2B),Z24*(1-TauxRemiseB2B),Z24))</f>
        <v/>
      </c>
      <c r="AC24" s="17">
        <f>IF(B24="","",AB24*M24)</f>
        <v/>
      </c>
      <c r="AD24" s="17">
        <f>IF(B24="","",AC24*(1+TauxTVA))</f>
        <v/>
      </c>
    </row>
    <row r="25">
      <c r="M25" t="n">
        <v>1</v>
      </c>
      <c r="N25" t="inlineStr">
        <is>
          <t>Non</t>
        </is>
      </c>
      <c r="O25" s="14">
        <f>IF(B25="","",IF(B25="Sur mesure...",C25,VLOOKUP(B25,TailleCoffretTable,2,FALSE)))</f>
        <v/>
      </c>
      <c r="P25" s="14">
        <f>IF(B25="","",IF(B25="Sur mesure...",D25,VLOOKUP(B25,TailleCoffretTable,3,FALSE)))</f>
        <v/>
      </c>
      <c r="Q25" s="14">
        <f>IF(B25="","",IF(B25="Sur mesure...",E25,VLOOKUP(B25,TailleCoffretTable,4,FALSE)))</f>
        <v/>
      </c>
      <c r="R25" s="15">
        <f>IF(B25="","",2*((O25*P25)+(O25*Q25)+(P25*Q25))/10000)</f>
        <v/>
      </c>
      <c r="S25" s="16">
        <f>IF(B25="","",R25*EpaisseurPanneau)</f>
        <v/>
      </c>
      <c r="T25" s="17">
        <f>IF(B25="","",S25*IFERROR(VLOOKUP(F25,EssenceTable,2,FALSE),0))</f>
        <v/>
      </c>
      <c r="U25" s="17">
        <f>IF(B25="","",IFERROR(VLOOKUP(G25,FinitionTable,2,FALSE),0)+R25*IFERROR(VLOOKUP(G25,FinitionTable,3,FALSE),0))</f>
        <v/>
      </c>
      <c r="V25" s="17">
        <f>IF(B25="","",IFERROR(VLOOKUP(H25,FermetureTable,2,FALSE),0))</f>
        <v/>
      </c>
      <c r="W25" s="17">
        <f>IF(B25="","",IFERROR(VLOOKUP(I25,DoublureTable,2,FALSE),0))</f>
        <v/>
      </c>
      <c r="X25" s="17">
        <f>IF(B25="","",IF(OR(J25="",J25="Aucune"),0,(IF(K25="image",GravureSurfImage,GravureSurfTexte)*(IF(L25="",100,L25)/100)^2)*IFERROR(VLOOKUP(J25,GravureProcedeTable,2,FALSE),0)+IF(K25="image",FraisLogo,0)))</f>
        <v/>
      </c>
      <c r="Y25" s="17">
        <f>IF(B25="","",MainOeuvreBase+R25*MainOeuvreTaux)</f>
        <v/>
      </c>
      <c r="Z25" s="17">
        <f>IF(B25="","",SUM(T25:Y25))</f>
        <v/>
      </c>
      <c r="AA25" s="17">
        <f>IF(B25="","",IF(AND(N25="Oui",M25&gt;=SeuilB2B),"Oui (-"&amp;TauxRemiseB2B*100&amp;"%)","Non"))</f>
        <v/>
      </c>
      <c r="AB25" s="17">
        <f>IF(B25="","",IF(AND(N25="Oui",M25&gt;=SeuilB2B),Z25*(1-TauxRemiseB2B),Z25))</f>
        <v/>
      </c>
      <c r="AC25" s="17">
        <f>IF(B25="","",AB25*M25)</f>
        <v/>
      </c>
      <c r="AD25" s="17">
        <f>IF(B25="","",AC25*(1+TauxTVA))</f>
        <v/>
      </c>
    </row>
    <row r="26">
      <c r="M26" t="n">
        <v>1</v>
      </c>
      <c r="N26" t="inlineStr">
        <is>
          <t>Non</t>
        </is>
      </c>
      <c r="O26" s="14">
        <f>IF(B26="","",IF(B26="Sur mesure...",C26,VLOOKUP(B26,TailleCoffretTable,2,FALSE)))</f>
        <v/>
      </c>
      <c r="P26" s="14">
        <f>IF(B26="","",IF(B26="Sur mesure...",D26,VLOOKUP(B26,TailleCoffretTable,3,FALSE)))</f>
        <v/>
      </c>
      <c r="Q26" s="14">
        <f>IF(B26="","",IF(B26="Sur mesure...",E26,VLOOKUP(B26,TailleCoffretTable,4,FALSE)))</f>
        <v/>
      </c>
      <c r="R26" s="15">
        <f>IF(B26="","",2*((O26*P26)+(O26*Q26)+(P26*Q26))/10000)</f>
        <v/>
      </c>
      <c r="S26" s="16">
        <f>IF(B26="","",R26*EpaisseurPanneau)</f>
        <v/>
      </c>
      <c r="T26" s="17">
        <f>IF(B26="","",S26*IFERROR(VLOOKUP(F26,EssenceTable,2,FALSE),0))</f>
        <v/>
      </c>
      <c r="U26" s="17">
        <f>IF(B26="","",IFERROR(VLOOKUP(G26,FinitionTable,2,FALSE),0)+R26*IFERROR(VLOOKUP(G26,FinitionTable,3,FALSE),0))</f>
        <v/>
      </c>
      <c r="V26" s="17">
        <f>IF(B26="","",IFERROR(VLOOKUP(H26,FermetureTable,2,FALSE),0))</f>
        <v/>
      </c>
      <c r="W26" s="17">
        <f>IF(B26="","",IFERROR(VLOOKUP(I26,DoublureTable,2,FALSE),0))</f>
        <v/>
      </c>
      <c r="X26" s="17">
        <f>IF(B26="","",IF(OR(J26="",J26="Aucune"),0,(IF(K26="image",GravureSurfImage,GravureSurfTexte)*(IF(L26="",100,L26)/100)^2)*IFERROR(VLOOKUP(J26,GravureProcedeTable,2,FALSE),0)+IF(K26="image",FraisLogo,0)))</f>
        <v/>
      </c>
      <c r="Y26" s="17">
        <f>IF(B26="","",MainOeuvreBase+R26*MainOeuvreTaux)</f>
        <v/>
      </c>
      <c r="Z26" s="17">
        <f>IF(B26="","",SUM(T26:Y26))</f>
        <v/>
      </c>
      <c r="AA26" s="17">
        <f>IF(B26="","",IF(AND(N26="Oui",M26&gt;=SeuilB2B),"Oui (-"&amp;TauxRemiseB2B*100&amp;"%)","Non"))</f>
        <v/>
      </c>
      <c r="AB26" s="17">
        <f>IF(B26="","",IF(AND(N26="Oui",M26&gt;=SeuilB2B),Z26*(1-TauxRemiseB2B),Z26))</f>
        <v/>
      </c>
      <c r="AC26" s="17">
        <f>IF(B26="","",AB26*M26)</f>
        <v/>
      </c>
      <c r="AD26" s="17">
        <f>IF(B26="","",AC26*(1+TauxTVA))</f>
        <v/>
      </c>
    </row>
    <row r="27">
      <c r="A27" s="18" t="inlineStr">
        <is>
          <t>TOTAL COMMANDE</t>
        </is>
      </c>
      <c r="AC27" s="19">
        <f>SUM(AC2:AC26)</f>
        <v/>
      </c>
      <c r="AD27" s="19">
        <f>SUM(AD2:AD26)</f>
        <v/>
      </c>
    </row>
  </sheetData>
  <dataValidations count="8">
    <dataValidation sqref="B2:B26" showDropDown="0" showInputMessage="0" showErrorMessage="0" allowBlank="1" type="list">
      <formula1>TailleCoffretListe</formula1>
    </dataValidation>
    <dataValidation sqref="F2:F26" showDropDown="0" showInputMessage="0" showErrorMessage="0" allowBlank="1" type="list">
      <formula1>EssenceListe</formula1>
    </dataValidation>
    <dataValidation sqref="G2:G26" showDropDown="0" showInputMessage="0" showErrorMessage="0" allowBlank="1" type="list">
      <formula1>FinitionListe</formula1>
    </dataValidation>
    <dataValidation sqref="H2:H26" showDropDown="0" showInputMessage="0" showErrorMessage="0" allowBlank="1" type="list">
      <formula1>FermetureListe</formula1>
    </dataValidation>
    <dataValidation sqref="I2:I26" showDropDown="0" showInputMessage="0" showErrorMessage="0" allowBlank="1" type="list">
      <formula1>DoublureListe</formula1>
    </dataValidation>
    <dataValidation sqref="J2:J26" showDropDown="0" showInputMessage="0" showErrorMessage="0" allowBlank="1" type="list">
      <formula1>GravureProcedeListe</formula1>
    </dataValidation>
    <dataValidation sqref="K2:K26" showDropDown="0" showInputMessage="0" showErrorMessage="0" allowBlank="1" type="list">
      <formula1>"texte,image"</formula1>
    </dataValidation>
    <dataValidation sqref="N2:N26" showDropDown="0" showInputMessage="0" showErrorMessage="0" allowBlank="1" type="list">
      <formula1>"Oui,Non"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7"/>
  <sheetViews>
    <sheetView showGridLines="0" zoomScale="90" workbookViewId="0">
      <pane xSplit="12" ySplit="1" topLeftCell="M2"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11" customWidth="1" min="3" max="3"/>
    <col width="11" customWidth="1" min="4" max="4"/>
    <col width="11" customWidth="1" min="5" max="5"/>
    <col width="13" customWidth="1" min="6" max="6"/>
    <col width="14" customWidth="1" min="7" max="7"/>
    <col width="18" customWidth="1" min="8" max="8"/>
    <col width="12" customWidth="1" min="9" max="9"/>
    <col width="12" customWidth="1" min="10" max="10"/>
    <col width="10" customWidth="1" min="11" max="11"/>
    <col width="11" customWidth="1" min="12" max="12"/>
    <col width="11" customWidth="1" min="13" max="13"/>
    <col width="11" customWidth="1" min="14" max="14"/>
    <col width="11" customWidth="1" min="15" max="15"/>
    <col width="12" customWidth="1" min="16" max="16"/>
    <col width="12" customWidth="1" min="17" max="17"/>
    <col width="12" customWidth="1" min="18" max="18"/>
    <col width="12" customWidth="1" min="19" max="19"/>
    <col width="12" customWidth="1" min="20" max="20"/>
    <col width="12" customWidth="1" min="21" max="21"/>
    <col width="13" customWidth="1" min="22" max="22"/>
    <col width="15" customWidth="1" min="23" max="23"/>
    <col width="15" customWidth="1" min="24" max="24"/>
    <col width="15" customWidth="1" min="25" max="25"/>
    <col width="13" customWidth="1" min="26" max="26"/>
  </cols>
  <sheetData>
    <row r="1" ht="42" customHeight="1">
      <c r="A1" s="12" t="inlineStr">
        <is>
          <t>Désignation (repère libre)</t>
        </is>
      </c>
      <c r="B1" s="12" t="inlineStr">
        <is>
          <t>Sous-type</t>
        </is>
      </c>
      <c r="C1" s="12" t="inlineStr">
        <is>
          <t>L manuel (cm)</t>
        </is>
      </c>
      <c r="D1" s="12" t="inlineStr">
        <is>
          <t>l manuel (cm)</t>
        </is>
      </c>
      <c r="E1" s="12" t="inlineStr">
        <is>
          <t>h manuel (cm)</t>
        </is>
      </c>
      <c r="F1" s="12" t="inlineStr">
        <is>
          <t>Essence</t>
        </is>
      </c>
      <c r="G1" s="12" t="inlineStr">
        <is>
          <t>Finition</t>
        </is>
      </c>
      <c r="H1" s="12" t="inlineStr">
        <is>
          <t>Gravure — procédé</t>
        </is>
      </c>
      <c r="I1" s="12" t="inlineStr">
        <is>
          <t>Gravure — mode</t>
        </is>
      </c>
      <c r="J1" s="12" t="inlineStr">
        <is>
          <t>Gravure — taille curseur (%)</t>
        </is>
      </c>
      <c r="K1" s="12" t="inlineStr">
        <is>
          <t>Quantité</t>
        </is>
      </c>
      <c r="L1" s="12" t="inlineStr">
        <is>
          <t>Client B2B ?</t>
        </is>
      </c>
      <c r="M1" s="13" t="inlineStr">
        <is>
          <t>L retenue (cm)</t>
        </is>
      </c>
      <c r="N1" s="13" t="inlineStr">
        <is>
          <t>l retenue (cm)</t>
        </is>
      </c>
      <c r="O1" s="13" t="inlineStr">
        <is>
          <t>h retenue (cm)</t>
        </is>
      </c>
      <c r="P1" s="13" t="inlineStr">
        <is>
          <t>Surface développée (m²)</t>
        </is>
      </c>
      <c r="Q1" s="13" t="inlineStr">
        <is>
          <t>Volume bois (m³)</t>
        </is>
      </c>
      <c r="R1" s="13" t="inlineStr">
        <is>
          <t>Prix matière (€)</t>
        </is>
      </c>
      <c r="S1" s="13" t="inlineStr">
        <is>
          <t>Prix finition (€)</t>
        </is>
      </c>
      <c r="T1" s="13" t="inlineStr">
        <is>
          <t>Prix gravure (€)</t>
        </is>
      </c>
      <c r="U1" s="13" t="inlineStr">
        <is>
          <t>Main d'œuvre (€)</t>
        </is>
      </c>
      <c r="V1" s="13" t="inlineStr">
        <is>
          <t>Prix unitaire HT avant remise (€)</t>
        </is>
      </c>
      <c r="W1" s="13" t="inlineStr">
        <is>
          <t>Remise B2B appliquée</t>
        </is>
      </c>
      <c r="X1" s="13" t="inlineStr">
        <is>
          <t>Prix unitaire HT après remise (€)</t>
        </is>
      </c>
      <c r="Y1" s="13" t="inlineStr">
        <is>
          <t>Total HT ligne (€)</t>
        </is>
      </c>
      <c r="Z1" s="13" t="inlineStr">
        <is>
          <t>Total TTC ligne (€)</t>
        </is>
      </c>
    </row>
    <row r="2">
      <c r="K2" t="n">
        <v>1</v>
      </c>
      <c r="L2" t="inlineStr">
        <is>
          <t>Non</t>
        </is>
      </c>
      <c r="M2" s="14">
        <f>IF(B2="","",IF(C2&lt;&gt;"",C2,VLOOKUP(B2,SousTypeBijouxTable,2,FALSE)))</f>
        <v/>
      </c>
      <c r="N2" s="14">
        <f>IF(B2="","",IF(D2&lt;&gt;"",D2,VLOOKUP(B2,SousTypeBijouxTable,3,FALSE)))</f>
        <v/>
      </c>
      <c r="O2" s="14">
        <f>IF(B2="","",IF(E2&lt;&gt;"",E2,VLOOKUP(B2,SousTypeBijouxTable,4,FALSE)))</f>
        <v/>
      </c>
      <c r="P2" s="15">
        <f>IF(B2="","",2*((M2*N2)+(M2*O2)+(N2*O2))/10000)</f>
        <v/>
      </c>
      <c r="Q2" s="16">
        <f>IF(B2="","",P2*EpaisseurPanneau)</f>
        <v/>
      </c>
      <c r="R2" s="17">
        <f>IF(B2="","",Q2*IFERROR(VLOOKUP(F2,EssenceTable,2,FALSE),0))</f>
        <v/>
      </c>
      <c r="S2" s="17">
        <f>IF(B2="","",IFERROR(VLOOKUP(G2,FinitionTable,2,FALSE),0)+P2*IFERROR(VLOOKUP(G2,FinitionTable,3,FALSE),0))</f>
        <v/>
      </c>
      <c r="T2" s="17">
        <f>IF(B2="","",IF(OR(H2="",H2="Aucune"),0,(IF(I2="image",GravureSurfImage,GravureSurfTexte)*(IF(J2="",100,J2)/100)^2)*IFERROR(VLOOKUP(H2,GravureProcedeTable,2,FALSE),0)+IF(I2="image",FraisLogo,0)))</f>
        <v/>
      </c>
      <c r="U2" s="17">
        <f>IF(B2="","",MainOeuvreBase+P2*MainOeuvreTaux)</f>
        <v/>
      </c>
      <c r="V2" s="17">
        <f>IF(B2="","",SUM(R2:U2))</f>
        <v/>
      </c>
      <c r="W2" s="17">
        <f>IF(B2="","",IF(AND(L2="Oui",K2&gt;=SeuilB2B),"Oui (-"&amp;TauxRemiseB2B*100&amp;"%)","Non"))</f>
        <v/>
      </c>
      <c r="X2" s="17">
        <f>IF(B2="","",IF(AND(L2="Oui",K2&gt;=SeuilB2B),V2*(1-TauxRemiseB2B),V2))</f>
        <v/>
      </c>
      <c r="Y2" s="17">
        <f>IF(B2="","",X2*K2)</f>
        <v/>
      </c>
      <c r="Z2" s="17">
        <f>IF(B2="","",Y2*(1+TauxTVA))</f>
        <v/>
      </c>
    </row>
    <row r="3">
      <c r="K3" t="n">
        <v>1</v>
      </c>
      <c r="L3" t="inlineStr">
        <is>
          <t>Non</t>
        </is>
      </c>
      <c r="M3" s="14">
        <f>IF(B3="","",IF(C3&lt;&gt;"",C3,VLOOKUP(B3,SousTypeBijouxTable,2,FALSE)))</f>
        <v/>
      </c>
      <c r="N3" s="14">
        <f>IF(B3="","",IF(D3&lt;&gt;"",D3,VLOOKUP(B3,SousTypeBijouxTable,3,FALSE)))</f>
        <v/>
      </c>
      <c r="O3" s="14">
        <f>IF(B3="","",IF(E3&lt;&gt;"",E3,VLOOKUP(B3,SousTypeBijouxTable,4,FALSE)))</f>
        <v/>
      </c>
      <c r="P3" s="15">
        <f>IF(B3="","",2*((M3*N3)+(M3*O3)+(N3*O3))/10000)</f>
        <v/>
      </c>
      <c r="Q3" s="16">
        <f>IF(B3="","",P3*EpaisseurPanneau)</f>
        <v/>
      </c>
      <c r="R3" s="17">
        <f>IF(B3="","",Q3*IFERROR(VLOOKUP(F3,EssenceTable,2,FALSE),0))</f>
        <v/>
      </c>
      <c r="S3" s="17">
        <f>IF(B3="","",IFERROR(VLOOKUP(G3,FinitionTable,2,FALSE),0)+P3*IFERROR(VLOOKUP(G3,FinitionTable,3,FALSE),0))</f>
        <v/>
      </c>
      <c r="T3" s="17">
        <f>IF(B3="","",IF(OR(H3="",H3="Aucune"),0,(IF(I3="image",GravureSurfImage,GravureSurfTexte)*(IF(J3="",100,J3)/100)^2)*IFERROR(VLOOKUP(H3,GravureProcedeTable,2,FALSE),0)+IF(I3="image",FraisLogo,0)))</f>
        <v/>
      </c>
      <c r="U3" s="17">
        <f>IF(B3="","",MainOeuvreBase+P3*MainOeuvreTaux)</f>
        <v/>
      </c>
      <c r="V3" s="17">
        <f>IF(B3="","",SUM(R3:U3))</f>
        <v/>
      </c>
      <c r="W3" s="17">
        <f>IF(B3="","",IF(AND(L3="Oui",K3&gt;=SeuilB2B),"Oui (-"&amp;TauxRemiseB2B*100&amp;"%)","Non"))</f>
        <v/>
      </c>
      <c r="X3" s="17">
        <f>IF(B3="","",IF(AND(L3="Oui",K3&gt;=SeuilB2B),V3*(1-TauxRemiseB2B),V3))</f>
        <v/>
      </c>
      <c r="Y3" s="17">
        <f>IF(B3="","",X3*K3)</f>
        <v/>
      </c>
      <c r="Z3" s="17">
        <f>IF(B3="","",Y3*(1+TauxTVA))</f>
        <v/>
      </c>
    </row>
    <row r="4">
      <c r="K4" t="n">
        <v>1</v>
      </c>
      <c r="L4" t="inlineStr">
        <is>
          <t>Non</t>
        </is>
      </c>
      <c r="M4" s="14">
        <f>IF(B4="","",IF(C4&lt;&gt;"",C4,VLOOKUP(B4,SousTypeBijouxTable,2,FALSE)))</f>
        <v/>
      </c>
      <c r="N4" s="14">
        <f>IF(B4="","",IF(D4&lt;&gt;"",D4,VLOOKUP(B4,SousTypeBijouxTable,3,FALSE)))</f>
        <v/>
      </c>
      <c r="O4" s="14">
        <f>IF(B4="","",IF(E4&lt;&gt;"",E4,VLOOKUP(B4,SousTypeBijouxTable,4,FALSE)))</f>
        <v/>
      </c>
      <c r="P4" s="15">
        <f>IF(B4="","",2*((M4*N4)+(M4*O4)+(N4*O4))/10000)</f>
        <v/>
      </c>
      <c r="Q4" s="16">
        <f>IF(B4="","",P4*EpaisseurPanneau)</f>
        <v/>
      </c>
      <c r="R4" s="17">
        <f>IF(B4="","",Q4*IFERROR(VLOOKUP(F4,EssenceTable,2,FALSE),0))</f>
        <v/>
      </c>
      <c r="S4" s="17">
        <f>IF(B4="","",IFERROR(VLOOKUP(G4,FinitionTable,2,FALSE),0)+P4*IFERROR(VLOOKUP(G4,FinitionTable,3,FALSE),0))</f>
        <v/>
      </c>
      <c r="T4" s="17">
        <f>IF(B4="","",IF(OR(H4="",H4="Aucune"),0,(IF(I4="image",GravureSurfImage,GravureSurfTexte)*(IF(J4="",100,J4)/100)^2)*IFERROR(VLOOKUP(H4,GravureProcedeTable,2,FALSE),0)+IF(I4="image",FraisLogo,0)))</f>
        <v/>
      </c>
      <c r="U4" s="17">
        <f>IF(B4="","",MainOeuvreBase+P4*MainOeuvreTaux)</f>
        <v/>
      </c>
      <c r="V4" s="17">
        <f>IF(B4="","",SUM(R4:U4))</f>
        <v/>
      </c>
      <c r="W4" s="17">
        <f>IF(B4="","",IF(AND(L4="Oui",K4&gt;=SeuilB2B),"Oui (-"&amp;TauxRemiseB2B*100&amp;"%)","Non"))</f>
        <v/>
      </c>
      <c r="X4" s="17">
        <f>IF(B4="","",IF(AND(L4="Oui",K4&gt;=SeuilB2B),V4*(1-TauxRemiseB2B),V4))</f>
        <v/>
      </c>
      <c r="Y4" s="17">
        <f>IF(B4="","",X4*K4)</f>
        <v/>
      </c>
      <c r="Z4" s="17">
        <f>IF(B4="","",Y4*(1+TauxTVA))</f>
        <v/>
      </c>
    </row>
    <row r="5">
      <c r="K5" t="n">
        <v>1</v>
      </c>
      <c r="L5" t="inlineStr">
        <is>
          <t>Non</t>
        </is>
      </c>
      <c r="M5" s="14">
        <f>IF(B5="","",IF(C5&lt;&gt;"",C5,VLOOKUP(B5,SousTypeBijouxTable,2,FALSE)))</f>
        <v/>
      </c>
      <c r="N5" s="14">
        <f>IF(B5="","",IF(D5&lt;&gt;"",D5,VLOOKUP(B5,SousTypeBijouxTable,3,FALSE)))</f>
        <v/>
      </c>
      <c r="O5" s="14">
        <f>IF(B5="","",IF(E5&lt;&gt;"",E5,VLOOKUP(B5,SousTypeBijouxTable,4,FALSE)))</f>
        <v/>
      </c>
      <c r="P5" s="15">
        <f>IF(B5="","",2*((M5*N5)+(M5*O5)+(N5*O5))/10000)</f>
        <v/>
      </c>
      <c r="Q5" s="16">
        <f>IF(B5="","",P5*EpaisseurPanneau)</f>
        <v/>
      </c>
      <c r="R5" s="17">
        <f>IF(B5="","",Q5*IFERROR(VLOOKUP(F5,EssenceTable,2,FALSE),0))</f>
        <v/>
      </c>
      <c r="S5" s="17">
        <f>IF(B5="","",IFERROR(VLOOKUP(G5,FinitionTable,2,FALSE),0)+P5*IFERROR(VLOOKUP(G5,FinitionTable,3,FALSE),0))</f>
        <v/>
      </c>
      <c r="T5" s="17">
        <f>IF(B5="","",IF(OR(H5="",H5="Aucune"),0,(IF(I5="image",GravureSurfImage,GravureSurfTexte)*(IF(J5="",100,J5)/100)^2)*IFERROR(VLOOKUP(H5,GravureProcedeTable,2,FALSE),0)+IF(I5="image",FraisLogo,0)))</f>
        <v/>
      </c>
      <c r="U5" s="17">
        <f>IF(B5="","",MainOeuvreBase+P5*MainOeuvreTaux)</f>
        <v/>
      </c>
      <c r="V5" s="17">
        <f>IF(B5="","",SUM(R5:U5))</f>
        <v/>
      </c>
      <c r="W5" s="17">
        <f>IF(B5="","",IF(AND(L5="Oui",K5&gt;=SeuilB2B),"Oui (-"&amp;TauxRemiseB2B*100&amp;"%)","Non"))</f>
        <v/>
      </c>
      <c r="X5" s="17">
        <f>IF(B5="","",IF(AND(L5="Oui",K5&gt;=SeuilB2B),V5*(1-TauxRemiseB2B),V5))</f>
        <v/>
      </c>
      <c r="Y5" s="17">
        <f>IF(B5="","",X5*K5)</f>
        <v/>
      </c>
      <c r="Z5" s="17">
        <f>IF(B5="","",Y5*(1+TauxTVA))</f>
        <v/>
      </c>
    </row>
    <row r="6">
      <c r="K6" t="n">
        <v>1</v>
      </c>
      <c r="L6" t="inlineStr">
        <is>
          <t>Non</t>
        </is>
      </c>
      <c r="M6" s="14">
        <f>IF(B6="","",IF(C6&lt;&gt;"",C6,VLOOKUP(B6,SousTypeBijouxTable,2,FALSE)))</f>
        <v/>
      </c>
      <c r="N6" s="14">
        <f>IF(B6="","",IF(D6&lt;&gt;"",D6,VLOOKUP(B6,SousTypeBijouxTable,3,FALSE)))</f>
        <v/>
      </c>
      <c r="O6" s="14">
        <f>IF(B6="","",IF(E6&lt;&gt;"",E6,VLOOKUP(B6,SousTypeBijouxTable,4,FALSE)))</f>
        <v/>
      </c>
      <c r="P6" s="15">
        <f>IF(B6="","",2*((M6*N6)+(M6*O6)+(N6*O6))/10000)</f>
        <v/>
      </c>
      <c r="Q6" s="16">
        <f>IF(B6="","",P6*EpaisseurPanneau)</f>
        <v/>
      </c>
      <c r="R6" s="17">
        <f>IF(B6="","",Q6*IFERROR(VLOOKUP(F6,EssenceTable,2,FALSE),0))</f>
        <v/>
      </c>
      <c r="S6" s="17">
        <f>IF(B6="","",IFERROR(VLOOKUP(G6,FinitionTable,2,FALSE),0)+P6*IFERROR(VLOOKUP(G6,FinitionTable,3,FALSE),0))</f>
        <v/>
      </c>
      <c r="T6" s="17">
        <f>IF(B6="","",IF(OR(H6="",H6="Aucune"),0,(IF(I6="image",GravureSurfImage,GravureSurfTexte)*(IF(J6="",100,J6)/100)^2)*IFERROR(VLOOKUP(H6,GravureProcedeTable,2,FALSE),0)+IF(I6="image",FraisLogo,0)))</f>
        <v/>
      </c>
      <c r="U6" s="17">
        <f>IF(B6="","",MainOeuvreBase+P6*MainOeuvreTaux)</f>
        <v/>
      </c>
      <c r="V6" s="17">
        <f>IF(B6="","",SUM(R6:U6))</f>
        <v/>
      </c>
      <c r="W6" s="17">
        <f>IF(B6="","",IF(AND(L6="Oui",K6&gt;=SeuilB2B),"Oui (-"&amp;TauxRemiseB2B*100&amp;"%)","Non"))</f>
        <v/>
      </c>
      <c r="X6" s="17">
        <f>IF(B6="","",IF(AND(L6="Oui",K6&gt;=SeuilB2B),V6*(1-TauxRemiseB2B),V6))</f>
        <v/>
      </c>
      <c r="Y6" s="17">
        <f>IF(B6="","",X6*K6)</f>
        <v/>
      </c>
      <c r="Z6" s="17">
        <f>IF(B6="","",Y6*(1+TauxTVA))</f>
        <v/>
      </c>
    </row>
    <row r="7">
      <c r="K7" t="n">
        <v>1</v>
      </c>
      <c r="L7" t="inlineStr">
        <is>
          <t>Non</t>
        </is>
      </c>
      <c r="M7" s="14">
        <f>IF(B7="","",IF(C7&lt;&gt;"",C7,VLOOKUP(B7,SousTypeBijouxTable,2,FALSE)))</f>
        <v/>
      </c>
      <c r="N7" s="14">
        <f>IF(B7="","",IF(D7&lt;&gt;"",D7,VLOOKUP(B7,SousTypeBijouxTable,3,FALSE)))</f>
        <v/>
      </c>
      <c r="O7" s="14">
        <f>IF(B7="","",IF(E7&lt;&gt;"",E7,VLOOKUP(B7,SousTypeBijouxTable,4,FALSE)))</f>
        <v/>
      </c>
      <c r="P7" s="15">
        <f>IF(B7="","",2*((M7*N7)+(M7*O7)+(N7*O7))/10000)</f>
        <v/>
      </c>
      <c r="Q7" s="16">
        <f>IF(B7="","",P7*EpaisseurPanneau)</f>
        <v/>
      </c>
      <c r="R7" s="17">
        <f>IF(B7="","",Q7*IFERROR(VLOOKUP(F7,EssenceTable,2,FALSE),0))</f>
        <v/>
      </c>
      <c r="S7" s="17">
        <f>IF(B7="","",IFERROR(VLOOKUP(G7,FinitionTable,2,FALSE),0)+P7*IFERROR(VLOOKUP(G7,FinitionTable,3,FALSE),0))</f>
        <v/>
      </c>
      <c r="T7" s="17">
        <f>IF(B7="","",IF(OR(H7="",H7="Aucune"),0,(IF(I7="image",GravureSurfImage,GravureSurfTexte)*(IF(J7="",100,J7)/100)^2)*IFERROR(VLOOKUP(H7,GravureProcedeTable,2,FALSE),0)+IF(I7="image",FraisLogo,0)))</f>
        <v/>
      </c>
      <c r="U7" s="17">
        <f>IF(B7="","",MainOeuvreBase+P7*MainOeuvreTaux)</f>
        <v/>
      </c>
      <c r="V7" s="17">
        <f>IF(B7="","",SUM(R7:U7))</f>
        <v/>
      </c>
      <c r="W7" s="17">
        <f>IF(B7="","",IF(AND(L7="Oui",K7&gt;=SeuilB2B),"Oui (-"&amp;TauxRemiseB2B*100&amp;"%)","Non"))</f>
        <v/>
      </c>
      <c r="X7" s="17">
        <f>IF(B7="","",IF(AND(L7="Oui",K7&gt;=SeuilB2B),V7*(1-TauxRemiseB2B),V7))</f>
        <v/>
      </c>
      <c r="Y7" s="17">
        <f>IF(B7="","",X7*K7)</f>
        <v/>
      </c>
      <c r="Z7" s="17">
        <f>IF(B7="","",Y7*(1+TauxTVA))</f>
        <v/>
      </c>
    </row>
    <row r="8">
      <c r="K8" t="n">
        <v>1</v>
      </c>
      <c r="L8" t="inlineStr">
        <is>
          <t>Non</t>
        </is>
      </c>
      <c r="M8" s="14">
        <f>IF(B8="","",IF(C8&lt;&gt;"",C8,VLOOKUP(B8,SousTypeBijouxTable,2,FALSE)))</f>
        <v/>
      </c>
      <c r="N8" s="14">
        <f>IF(B8="","",IF(D8&lt;&gt;"",D8,VLOOKUP(B8,SousTypeBijouxTable,3,FALSE)))</f>
        <v/>
      </c>
      <c r="O8" s="14">
        <f>IF(B8="","",IF(E8&lt;&gt;"",E8,VLOOKUP(B8,SousTypeBijouxTable,4,FALSE)))</f>
        <v/>
      </c>
      <c r="P8" s="15">
        <f>IF(B8="","",2*((M8*N8)+(M8*O8)+(N8*O8))/10000)</f>
        <v/>
      </c>
      <c r="Q8" s="16">
        <f>IF(B8="","",P8*EpaisseurPanneau)</f>
        <v/>
      </c>
      <c r="R8" s="17">
        <f>IF(B8="","",Q8*IFERROR(VLOOKUP(F8,EssenceTable,2,FALSE),0))</f>
        <v/>
      </c>
      <c r="S8" s="17">
        <f>IF(B8="","",IFERROR(VLOOKUP(G8,FinitionTable,2,FALSE),0)+P8*IFERROR(VLOOKUP(G8,FinitionTable,3,FALSE),0))</f>
        <v/>
      </c>
      <c r="T8" s="17">
        <f>IF(B8="","",IF(OR(H8="",H8="Aucune"),0,(IF(I8="image",GravureSurfImage,GravureSurfTexte)*(IF(J8="",100,J8)/100)^2)*IFERROR(VLOOKUP(H8,GravureProcedeTable,2,FALSE),0)+IF(I8="image",FraisLogo,0)))</f>
        <v/>
      </c>
      <c r="U8" s="17">
        <f>IF(B8="","",MainOeuvreBase+P8*MainOeuvreTaux)</f>
        <v/>
      </c>
      <c r="V8" s="17">
        <f>IF(B8="","",SUM(R8:U8))</f>
        <v/>
      </c>
      <c r="W8" s="17">
        <f>IF(B8="","",IF(AND(L8="Oui",K8&gt;=SeuilB2B),"Oui (-"&amp;TauxRemiseB2B*100&amp;"%)","Non"))</f>
        <v/>
      </c>
      <c r="X8" s="17">
        <f>IF(B8="","",IF(AND(L8="Oui",K8&gt;=SeuilB2B),V8*(1-TauxRemiseB2B),V8))</f>
        <v/>
      </c>
      <c r="Y8" s="17">
        <f>IF(B8="","",X8*K8)</f>
        <v/>
      </c>
      <c r="Z8" s="17">
        <f>IF(B8="","",Y8*(1+TauxTVA))</f>
        <v/>
      </c>
    </row>
    <row r="9">
      <c r="K9" t="n">
        <v>1</v>
      </c>
      <c r="L9" t="inlineStr">
        <is>
          <t>Non</t>
        </is>
      </c>
      <c r="M9" s="14">
        <f>IF(B9="","",IF(C9&lt;&gt;"",C9,VLOOKUP(B9,SousTypeBijouxTable,2,FALSE)))</f>
        <v/>
      </c>
      <c r="N9" s="14">
        <f>IF(B9="","",IF(D9&lt;&gt;"",D9,VLOOKUP(B9,SousTypeBijouxTable,3,FALSE)))</f>
        <v/>
      </c>
      <c r="O9" s="14">
        <f>IF(B9="","",IF(E9&lt;&gt;"",E9,VLOOKUP(B9,SousTypeBijouxTable,4,FALSE)))</f>
        <v/>
      </c>
      <c r="P9" s="15">
        <f>IF(B9="","",2*((M9*N9)+(M9*O9)+(N9*O9))/10000)</f>
        <v/>
      </c>
      <c r="Q9" s="16">
        <f>IF(B9="","",P9*EpaisseurPanneau)</f>
        <v/>
      </c>
      <c r="R9" s="17">
        <f>IF(B9="","",Q9*IFERROR(VLOOKUP(F9,EssenceTable,2,FALSE),0))</f>
        <v/>
      </c>
      <c r="S9" s="17">
        <f>IF(B9="","",IFERROR(VLOOKUP(G9,FinitionTable,2,FALSE),0)+P9*IFERROR(VLOOKUP(G9,FinitionTable,3,FALSE),0))</f>
        <v/>
      </c>
      <c r="T9" s="17">
        <f>IF(B9="","",IF(OR(H9="",H9="Aucune"),0,(IF(I9="image",GravureSurfImage,GravureSurfTexte)*(IF(J9="",100,J9)/100)^2)*IFERROR(VLOOKUP(H9,GravureProcedeTable,2,FALSE),0)+IF(I9="image",FraisLogo,0)))</f>
        <v/>
      </c>
      <c r="U9" s="17">
        <f>IF(B9="","",MainOeuvreBase+P9*MainOeuvreTaux)</f>
        <v/>
      </c>
      <c r="V9" s="17">
        <f>IF(B9="","",SUM(R9:U9))</f>
        <v/>
      </c>
      <c r="W9" s="17">
        <f>IF(B9="","",IF(AND(L9="Oui",K9&gt;=SeuilB2B),"Oui (-"&amp;TauxRemiseB2B*100&amp;"%)","Non"))</f>
        <v/>
      </c>
      <c r="X9" s="17">
        <f>IF(B9="","",IF(AND(L9="Oui",K9&gt;=SeuilB2B),V9*(1-TauxRemiseB2B),V9))</f>
        <v/>
      </c>
      <c r="Y9" s="17">
        <f>IF(B9="","",X9*K9)</f>
        <v/>
      </c>
      <c r="Z9" s="17">
        <f>IF(B9="","",Y9*(1+TauxTVA))</f>
        <v/>
      </c>
    </row>
    <row r="10">
      <c r="K10" t="n">
        <v>1</v>
      </c>
      <c r="L10" t="inlineStr">
        <is>
          <t>Non</t>
        </is>
      </c>
      <c r="M10" s="14">
        <f>IF(B10="","",IF(C10&lt;&gt;"",C10,VLOOKUP(B10,SousTypeBijouxTable,2,FALSE)))</f>
        <v/>
      </c>
      <c r="N10" s="14">
        <f>IF(B10="","",IF(D10&lt;&gt;"",D10,VLOOKUP(B10,SousTypeBijouxTable,3,FALSE)))</f>
        <v/>
      </c>
      <c r="O10" s="14">
        <f>IF(B10="","",IF(E10&lt;&gt;"",E10,VLOOKUP(B10,SousTypeBijouxTable,4,FALSE)))</f>
        <v/>
      </c>
      <c r="P10" s="15">
        <f>IF(B10="","",2*((M10*N10)+(M10*O10)+(N10*O10))/10000)</f>
        <v/>
      </c>
      <c r="Q10" s="16">
        <f>IF(B10="","",P10*EpaisseurPanneau)</f>
        <v/>
      </c>
      <c r="R10" s="17">
        <f>IF(B10="","",Q10*IFERROR(VLOOKUP(F10,EssenceTable,2,FALSE),0))</f>
        <v/>
      </c>
      <c r="S10" s="17">
        <f>IF(B10="","",IFERROR(VLOOKUP(G10,FinitionTable,2,FALSE),0)+P10*IFERROR(VLOOKUP(G10,FinitionTable,3,FALSE),0))</f>
        <v/>
      </c>
      <c r="T10" s="17">
        <f>IF(B10="","",IF(OR(H10="",H10="Aucune"),0,(IF(I10="image",GravureSurfImage,GravureSurfTexte)*(IF(J10="",100,J10)/100)^2)*IFERROR(VLOOKUP(H10,GravureProcedeTable,2,FALSE),0)+IF(I10="image",FraisLogo,0)))</f>
        <v/>
      </c>
      <c r="U10" s="17">
        <f>IF(B10="","",MainOeuvreBase+P10*MainOeuvreTaux)</f>
        <v/>
      </c>
      <c r="V10" s="17">
        <f>IF(B10="","",SUM(R10:U10))</f>
        <v/>
      </c>
      <c r="W10" s="17">
        <f>IF(B10="","",IF(AND(L10="Oui",K10&gt;=SeuilB2B),"Oui (-"&amp;TauxRemiseB2B*100&amp;"%)","Non"))</f>
        <v/>
      </c>
      <c r="X10" s="17">
        <f>IF(B10="","",IF(AND(L10="Oui",K10&gt;=SeuilB2B),V10*(1-TauxRemiseB2B),V10))</f>
        <v/>
      </c>
      <c r="Y10" s="17">
        <f>IF(B10="","",X10*K10)</f>
        <v/>
      </c>
      <c r="Z10" s="17">
        <f>IF(B10="","",Y10*(1+TauxTVA))</f>
        <v/>
      </c>
    </row>
    <row r="11">
      <c r="K11" t="n">
        <v>1</v>
      </c>
      <c r="L11" t="inlineStr">
        <is>
          <t>Non</t>
        </is>
      </c>
      <c r="M11" s="14">
        <f>IF(B11="","",IF(C11&lt;&gt;"",C11,VLOOKUP(B11,SousTypeBijouxTable,2,FALSE)))</f>
        <v/>
      </c>
      <c r="N11" s="14">
        <f>IF(B11="","",IF(D11&lt;&gt;"",D11,VLOOKUP(B11,SousTypeBijouxTable,3,FALSE)))</f>
        <v/>
      </c>
      <c r="O11" s="14">
        <f>IF(B11="","",IF(E11&lt;&gt;"",E11,VLOOKUP(B11,SousTypeBijouxTable,4,FALSE)))</f>
        <v/>
      </c>
      <c r="P11" s="15">
        <f>IF(B11="","",2*((M11*N11)+(M11*O11)+(N11*O11))/10000)</f>
        <v/>
      </c>
      <c r="Q11" s="16">
        <f>IF(B11="","",P11*EpaisseurPanneau)</f>
        <v/>
      </c>
      <c r="R11" s="17">
        <f>IF(B11="","",Q11*IFERROR(VLOOKUP(F11,EssenceTable,2,FALSE),0))</f>
        <v/>
      </c>
      <c r="S11" s="17">
        <f>IF(B11="","",IFERROR(VLOOKUP(G11,FinitionTable,2,FALSE),0)+P11*IFERROR(VLOOKUP(G11,FinitionTable,3,FALSE),0))</f>
        <v/>
      </c>
      <c r="T11" s="17">
        <f>IF(B11="","",IF(OR(H11="",H11="Aucune"),0,(IF(I11="image",GravureSurfImage,GravureSurfTexte)*(IF(J11="",100,J11)/100)^2)*IFERROR(VLOOKUP(H11,GravureProcedeTable,2,FALSE),0)+IF(I11="image",FraisLogo,0)))</f>
        <v/>
      </c>
      <c r="U11" s="17">
        <f>IF(B11="","",MainOeuvreBase+P11*MainOeuvreTaux)</f>
        <v/>
      </c>
      <c r="V11" s="17">
        <f>IF(B11="","",SUM(R11:U11))</f>
        <v/>
      </c>
      <c r="W11" s="17">
        <f>IF(B11="","",IF(AND(L11="Oui",K11&gt;=SeuilB2B),"Oui (-"&amp;TauxRemiseB2B*100&amp;"%)","Non"))</f>
        <v/>
      </c>
      <c r="X11" s="17">
        <f>IF(B11="","",IF(AND(L11="Oui",K11&gt;=SeuilB2B),V11*(1-TauxRemiseB2B),V11))</f>
        <v/>
      </c>
      <c r="Y11" s="17">
        <f>IF(B11="","",X11*K11)</f>
        <v/>
      </c>
      <c r="Z11" s="17">
        <f>IF(B11="","",Y11*(1+TauxTVA))</f>
        <v/>
      </c>
    </row>
    <row r="12">
      <c r="K12" t="n">
        <v>1</v>
      </c>
      <c r="L12" t="inlineStr">
        <is>
          <t>Non</t>
        </is>
      </c>
      <c r="M12" s="14">
        <f>IF(B12="","",IF(C12&lt;&gt;"",C12,VLOOKUP(B12,SousTypeBijouxTable,2,FALSE)))</f>
        <v/>
      </c>
      <c r="N12" s="14">
        <f>IF(B12="","",IF(D12&lt;&gt;"",D12,VLOOKUP(B12,SousTypeBijouxTable,3,FALSE)))</f>
        <v/>
      </c>
      <c r="O12" s="14">
        <f>IF(B12="","",IF(E12&lt;&gt;"",E12,VLOOKUP(B12,SousTypeBijouxTable,4,FALSE)))</f>
        <v/>
      </c>
      <c r="P12" s="15">
        <f>IF(B12="","",2*((M12*N12)+(M12*O12)+(N12*O12))/10000)</f>
        <v/>
      </c>
      <c r="Q12" s="16">
        <f>IF(B12="","",P12*EpaisseurPanneau)</f>
        <v/>
      </c>
      <c r="R12" s="17">
        <f>IF(B12="","",Q12*IFERROR(VLOOKUP(F12,EssenceTable,2,FALSE),0))</f>
        <v/>
      </c>
      <c r="S12" s="17">
        <f>IF(B12="","",IFERROR(VLOOKUP(G12,FinitionTable,2,FALSE),0)+P12*IFERROR(VLOOKUP(G12,FinitionTable,3,FALSE),0))</f>
        <v/>
      </c>
      <c r="T12" s="17">
        <f>IF(B12="","",IF(OR(H12="",H12="Aucune"),0,(IF(I12="image",GravureSurfImage,GravureSurfTexte)*(IF(J12="",100,J12)/100)^2)*IFERROR(VLOOKUP(H12,GravureProcedeTable,2,FALSE),0)+IF(I12="image",FraisLogo,0)))</f>
        <v/>
      </c>
      <c r="U12" s="17">
        <f>IF(B12="","",MainOeuvreBase+P12*MainOeuvreTaux)</f>
        <v/>
      </c>
      <c r="V12" s="17">
        <f>IF(B12="","",SUM(R12:U12))</f>
        <v/>
      </c>
      <c r="W12" s="17">
        <f>IF(B12="","",IF(AND(L12="Oui",K12&gt;=SeuilB2B),"Oui (-"&amp;TauxRemiseB2B*100&amp;"%)","Non"))</f>
        <v/>
      </c>
      <c r="X12" s="17">
        <f>IF(B12="","",IF(AND(L12="Oui",K12&gt;=SeuilB2B),V12*(1-TauxRemiseB2B),V12))</f>
        <v/>
      </c>
      <c r="Y12" s="17">
        <f>IF(B12="","",X12*K12)</f>
        <v/>
      </c>
      <c r="Z12" s="17">
        <f>IF(B12="","",Y12*(1+TauxTVA))</f>
        <v/>
      </c>
    </row>
    <row r="13">
      <c r="K13" t="n">
        <v>1</v>
      </c>
      <c r="L13" t="inlineStr">
        <is>
          <t>Non</t>
        </is>
      </c>
      <c r="M13" s="14">
        <f>IF(B13="","",IF(C13&lt;&gt;"",C13,VLOOKUP(B13,SousTypeBijouxTable,2,FALSE)))</f>
        <v/>
      </c>
      <c r="N13" s="14">
        <f>IF(B13="","",IF(D13&lt;&gt;"",D13,VLOOKUP(B13,SousTypeBijouxTable,3,FALSE)))</f>
        <v/>
      </c>
      <c r="O13" s="14">
        <f>IF(B13="","",IF(E13&lt;&gt;"",E13,VLOOKUP(B13,SousTypeBijouxTable,4,FALSE)))</f>
        <v/>
      </c>
      <c r="P13" s="15">
        <f>IF(B13="","",2*((M13*N13)+(M13*O13)+(N13*O13))/10000)</f>
        <v/>
      </c>
      <c r="Q13" s="16">
        <f>IF(B13="","",P13*EpaisseurPanneau)</f>
        <v/>
      </c>
      <c r="R13" s="17">
        <f>IF(B13="","",Q13*IFERROR(VLOOKUP(F13,EssenceTable,2,FALSE),0))</f>
        <v/>
      </c>
      <c r="S13" s="17">
        <f>IF(B13="","",IFERROR(VLOOKUP(G13,FinitionTable,2,FALSE),0)+P13*IFERROR(VLOOKUP(G13,FinitionTable,3,FALSE),0))</f>
        <v/>
      </c>
      <c r="T13" s="17">
        <f>IF(B13="","",IF(OR(H13="",H13="Aucune"),0,(IF(I13="image",GravureSurfImage,GravureSurfTexte)*(IF(J13="",100,J13)/100)^2)*IFERROR(VLOOKUP(H13,GravureProcedeTable,2,FALSE),0)+IF(I13="image",FraisLogo,0)))</f>
        <v/>
      </c>
      <c r="U13" s="17">
        <f>IF(B13="","",MainOeuvreBase+P13*MainOeuvreTaux)</f>
        <v/>
      </c>
      <c r="V13" s="17">
        <f>IF(B13="","",SUM(R13:U13))</f>
        <v/>
      </c>
      <c r="W13" s="17">
        <f>IF(B13="","",IF(AND(L13="Oui",K13&gt;=SeuilB2B),"Oui (-"&amp;TauxRemiseB2B*100&amp;"%)","Non"))</f>
        <v/>
      </c>
      <c r="X13" s="17">
        <f>IF(B13="","",IF(AND(L13="Oui",K13&gt;=SeuilB2B),V13*(1-TauxRemiseB2B),V13))</f>
        <v/>
      </c>
      <c r="Y13" s="17">
        <f>IF(B13="","",X13*K13)</f>
        <v/>
      </c>
      <c r="Z13" s="17">
        <f>IF(B13="","",Y13*(1+TauxTVA))</f>
        <v/>
      </c>
    </row>
    <row r="14">
      <c r="K14" t="n">
        <v>1</v>
      </c>
      <c r="L14" t="inlineStr">
        <is>
          <t>Non</t>
        </is>
      </c>
      <c r="M14" s="14">
        <f>IF(B14="","",IF(C14&lt;&gt;"",C14,VLOOKUP(B14,SousTypeBijouxTable,2,FALSE)))</f>
        <v/>
      </c>
      <c r="N14" s="14">
        <f>IF(B14="","",IF(D14&lt;&gt;"",D14,VLOOKUP(B14,SousTypeBijouxTable,3,FALSE)))</f>
        <v/>
      </c>
      <c r="O14" s="14">
        <f>IF(B14="","",IF(E14&lt;&gt;"",E14,VLOOKUP(B14,SousTypeBijouxTable,4,FALSE)))</f>
        <v/>
      </c>
      <c r="P14" s="15">
        <f>IF(B14="","",2*((M14*N14)+(M14*O14)+(N14*O14))/10000)</f>
        <v/>
      </c>
      <c r="Q14" s="16">
        <f>IF(B14="","",P14*EpaisseurPanneau)</f>
        <v/>
      </c>
      <c r="R14" s="17">
        <f>IF(B14="","",Q14*IFERROR(VLOOKUP(F14,EssenceTable,2,FALSE),0))</f>
        <v/>
      </c>
      <c r="S14" s="17">
        <f>IF(B14="","",IFERROR(VLOOKUP(G14,FinitionTable,2,FALSE),0)+P14*IFERROR(VLOOKUP(G14,FinitionTable,3,FALSE),0))</f>
        <v/>
      </c>
      <c r="T14" s="17">
        <f>IF(B14="","",IF(OR(H14="",H14="Aucune"),0,(IF(I14="image",GravureSurfImage,GravureSurfTexte)*(IF(J14="",100,J14)/100)^2)*IFERROR(VLOOKUP(H14,GravureProcedeTable,2,FALSE),0)+IF(I14="image",FraisLogo,0)))</f>
        <v/>
      </c>
      <c r="U14" s="17">
        <f>IF(B14="","",MainOeuvreBase+P14*MainOeuvreTaux)</f>
        <v/>
      </c>
      <c r="V14" s="17">
        <f>IF(B14="","",SUM(R14:U14))</f>
        <v/>
      </c>
      <c r="W14" s="17">
        <f>IF(B14="","",IF(AND(L14="Oui",K14&gt;=SeuilB2B),"Oui (-"&amp;TauxRemiseB2B*100&amp;"%)","Non"))</f>
        <v/>
      </c>
      <c r="X14" s="17">
        <f>IF(B14="","",IF(AND(L14="Oui",K14&gt;=SeuilB2B),V14*(1-TauxRemiseB2B),V14))</f>
        <v/>
      </c>
      <c r="Y14" s="17">
        <f>IF(B14="","",X14*K14)</f>
        <v/>
      </c>
      <c r="Z14" s="17">
        <f>IF(B14="","",Y14*(1+TauxTVA))</f>
        <v/>
      </c>
    </row>
    <row r="15">
      <c r="K15" t="n">
        <v>1</v>
      </c>
      <c r="L15" t="inlineStr">
        <is>
          <t>Non</t>
        </is>
      </c>
      <c r="M15" s="14">
        <f>IF(B15="","",IF(C15&lt;&gt;"",C15,VLOOKUP(B15,SousTypeBijouxTable,2,FALSE)))</f>
        <v/>
      </c>
      <c r="N15" s="14">
        <f>IF(B15="","",IF(D15&lt;&gt;"",D15,VLOOKUP(B15,SousTypeBijouxTable,3,FALSE)))</f>
        <v/>
      </c>
      <c r="O15" s="14">
        <f>IF(B15="","",IF(E15&lt;&gt;"",E15,VLOOKUP(B15,SousTypeBijouxTable,4,FALSE)))</f>
        <v/>
      </c>
      <c r="P15" s="15">
        <f>IF(B15="","",2*((M15*N15)+(M15*O15)+(N15*O15))/10000)</f>
        <v/>
      </c>
      <c r="Q15" s="16">
        <f>IF(B15="","",P15*EpaisseurPanneau)</f>
        <v/>
      </c>
      <c r="R15" s="17">
        <f>IF(B15="","",Q15*IFERROR(VLOOKUP(F15,EssenceTable,2,FALSE),0))</f>
        <v/>
      </c>
      <c r="S15" s="17">
        <f>IF(B15="","",IFERROR(VLOOKUP(G15,FinitionTable,2,FALSE),0)+P15*IFERROR(VLOOKUP(G15,FinitionTable,3,FALSE),0))</f>
        <v/>
      </c>
      <c r="T15" s="17">
        <f>IF(B15="","",IF(OR(H15="",H15="Aucune"),0,(IF(I15="image",GravureSurfImage,GravureSurfTexte)*(IF(J15="",100,J15)/100)^2)*IFERROR(VLOOKUP(H15,GravureProcedeTable,2,FALSE),0)+IF(I15="image",FraisLogo,0)))</f>
        <v/>
      </c>
      <c r="U15" s="17">
        <f>IF(B15="","",MainOeuvreBase+P15*MainOeuvreTaux)</f>
        <v/>
      </c>
      <c r="V15" s="17">
        <f>IF(B15="","",SUM(R15:U15))</f>
        <v/>
      </c>
      <c r="W15" s="17">
        <f>IF(B15="","",IF(AND(L15="Oui",K15&gt;=SeuilB2B),"Oui (-"&amp;TauxRemiseB2B*100&amp;"%)","Non"))</f>
        <v/>
      </c>
      <c r="X15" s="17">
        <f>IF(B15="","",IF(AND(L15="Oui",K15&gt;=SeuilB2B),V15*(1-TauxRemiseB2B),V15))</f>
        <v/>
      </c>
      <c r="Y15" s="17">
        <f>IF(B15="","",X15*K15)</f>
        <v/>
      </c>
      <c r="Z15" s="17">
        <f>IF(B15="","",Y15*(1+TauxTVA))</f>
        <v/>
      </c>
    </row>
    <row r="16">
      <c r="K16" t="n">
        <v>1</v>
      </c>
      <c r="L16" t="inlineStr">
        <is>
          <t>Non</t>
        </is>
      </c>
      <c r="M16" s="14">
        <f>IF(B16="","",IF(C16&lt;&gt;"",C16,VLOOKUP(B16,SousTypeBijouxTable,2,FALSE)))</f>
        <v/>
      </c>
      <c r="N16" s="14">
        <f>IF(B16="","",IF(D16&lt;&gt;"",D16,VLOOKUP(B16,SousTypeBijouxTable,3,FALSE)))</f>
        <v/>
      </c>
      <c r="O16" s="14">
        <f>IF(B16="","",IF(E16&lt;&gt;"",E16,VLOOKUP(B16,SousTypeBijouxTable,4,FALSE)))</f>
        <v/>
      </c>
      <c r="P16" s="15">
        <f>IF(B16="","",2*((M16*N16)+(M16*O16)+(N16*O16))/10000)</f>
        <v/>
      </c>
      <c r="Q16" s="16">
        <f>IF(B16="","",P16*EpaisseurPanneau)</f>
        <v/>
      </c>
      <c r="R16" s="17">
        <f>IF(B16="","",Q16*IFERROR(VLOOKUP(F16,EssenceTable,2,FALSE),0))</f>
        <v/>
      </c>
      <c r="S16" s="17">
        <f>IF(B16="","",IFERROR(VLOOKUP(G16,FinitionTable,2,FALSE),0)+P16*IFERROR(VLOOKUP(G16,FinitionTable,3,FALSE),0))</f>
        <v/>
      </c>
      <c r="T16" s="17">
        <f>IF(B16="","",IF(OR(H16="",H16="Aucune"),0,(IF(I16="image",GravureSurfImage,GravureSurfTexte)*(IF(J16="",100,J16)/100)^2)*IFERROR(VLOOKUP(H16,GravureProcedeTable,2,FALSE),0)+IF(I16="image",FraisLogo,0)))</f>
        <v/>
      </c>
      <c r="U16" s="17">
        <f>IF(B16="","",MainOeuvreBase+P16*MainOeuvreTaux)</f>
        <v/>
      </c>
      <c r="V16" s="17">
        <f>IF(B16="","",SUM(R16:U16))</f>
        <v/>
      </c>
      <c r="W16" s="17">
        <f>IF(B16="","",IF(AND(L16="Oui",K16&gt;=SeuilB2B),"Oui (-"&amp;TauxRemiseB2B*100&amp;"%)","Non"))</f>
        <v/>
      </c>
      <c r="X16" s="17">
        <f>IF(B16="","",IF(AND(L16="Oui",K16&gt;=SeuilB2B),V16*(1-TauxRemiseB2B),V16))</f>
        <v/>
      </c>
      <c r="Y16" s="17">
        <f>IF(B16="","",X16*K16)</f>
        <v/>
      </c>
      <c r="Z16" s="17">
        <f>IF(B16="","",Y16*(1+TauxTVA))</f>
        <v/>
      </c>
    </row>
    <row r="17">
      <c r="K17" t="n">
        <v>1</v>
      </c>
      <c r="L17" t="inlineStr">
        <is>
          <t>Non</t>
        </is>
      </c>
      <c r="M17" s="14">
        <f>IF(B17="","",IF(C17&lt;&gt;"",C17,VLOOKUP(B17,SousTypeBijouxTable,2,FALSE)))</f>
        <v/>
      </c>
      <c r="N17" s="14">
        <f>IF(B17="","",IF(D17&lt;&gt;"",D17,VLOOKUP(B17,SousTypeBijouxTable,3,FALSE)))</f>
        <v/>
      </c>
      <c r="O17" s="14">
        <f>IF(B17="","",IF(E17&lt;&gt;"",E17,VLOOKUP(B17,SousTypeBijouxTable,4,FALSE)))</f>
        <v/>
      </c>
      <c r="P17" s="15">
        <f>IF(B17="","",2*((M17*N17)+(M17*O17)+(N17*O17))/10000)</f>
        <v/>
      </c>
      <c r="Q17" s="16">
        <f>IF(B17="","",P17*EpaisseurPanneau)</f>
        <v/>
      </c>
      <c r="R17" s="17">
        <f>IF(B17="","",Q17*IFERROR(VLOOKUP(F17,EssenceTable,2,FALSE),0))</f>
        <v/>
      </c>
      <c r="S17" s="17">
        <f>IF(B17="","",IFERROR(VLOOKUP(G17,FinitionTable,2,FALSE),0)+P17*IFERROR(VLOOKUP(G17,FinitionTable,3,FALSE),0))</f>
        <v/>
      </c>
      <c r="T17" s="17">
        <f>IF(B17="","",IF(OR(H17="",H17="Aucune"),0,(IF(I17="image",GravureSurfImage,GravureSurfTexte)*(IF(J17="",100,J17)/100)^2)*IFERROR(VLOOKUP(H17,GravureProcedeTable,2,FALSE),0)+IF(I17="image",FraisLogo,0)))</f>
        <v/>
      </c>
      <c r="U17" s="17">
        <f>IF(B17="","",MainOeuvreBase+P17*MainOeuvreTaux)</f>
        <v/>
      </c>
      <c r="V17" s="17">
        <f>IF(B17="","",SUM(R17:U17))</f>
        <v/>
      </c>
      <c r="W17" s="17">
        <f>IF(B17="","",IF(AND(L17="Oui",K17&gt;=SeuilB2B),"Oui (-"&amp;TauxRemiseB2B*100&amp;"%)","Non"))</f>
        <v/>
      </c>
      <c r="X17" s="17">
        <f>IF(B17="","",IF(AND(L17="Oui",K17&gt;=SeuilB2B),V17*(1-TauxRemiseB2B),V17))</f>
        <v/>
      </c>
      <c r="Y17" s="17">
        <f>IF(B17="","",X17*K17)</f>
        <v/>
      </c>
      <c r="Z17" s="17">
        <f>IF(B17="","",Y17*(1+TauxTVA))</f>
        <v/>
      </c>
    </row>
    <row r="18">
      <c r="K18" t="n">
        <v>1</v>
      </c>
      <c r="L18" t="inlineStr">
        <is>
          <t>Non</t>
        </is>
      </c>
      <c r="M18" s="14">
        <f>IF(B18="","",IF(C18&lt;&gt;"",C18,VLOOKUP(B18,SousTypeBijouxTable,2,FALSE)))</f>
        <v/>
      </c>
      <c r="N18" s="14">
        <f>IF(B18="","",IF(D18&lt;&gt;"",D18,VLOOKUP(B18,SousTypeBijouxTable,3,FALSE)))</f>
        <v/>
      </c>
      <c r="O18" s="14">
        <f>IF(B18="","",IF(E18&lt;&gt;"",E18,VLOOKUP(B18,SousTypeBijouxTable,4,FALSE)))</f>
        <v/>
      </c>
      <c r="P18" s="15">
        <f>IF(B18="","",2*((M18*N18)+(M18*O18)+(N18*O18))/10000)</f>
        <v/>
      </c>
      <c r="Q18" s="16">
        <f>IF(B18="","",P18*EpaisseurPanneau)</f>
        <v/>
      </c>
      <c r="R18" s="17">
        <f>IF(B18="","",Q18*IFERROR(VLOOKUP(F18,EssenceTable,2,FALSE),0))</f>
        <v/>
      </c>
      <c r="S18" s="17">
        <f>IF(B18="","",IFERROR(VLOOKUP(G18,FinitionTable,2,FALSE),0)+P18*IFERROR(VLOOKUP(G18,FinitionTable,3,FALSE),0))</f>
        <v/>
      </c>
      <c r="T18" s="17">
        <f>IF(B18="","",IF(OR(H18="",H18="Aucune"),0,(IF(I18="image",GravureSurfImage,GravureSurfTexte)*(IF(J18="",100,J18)/100)^2)*IFERROR(VLOOKUP(H18,GravureProcedeTable,2,FALSE),0)+IF(I18="image",FraisLogo,0)))</f>
        <v/>
      </c>
      <c r="U18" s="17">
        <f>IF(B18="","",MainOeuvreBase+P18*MainOeuvreTaux)</f>
        <v/>
      </c>
      <c r="V18" s="17">
        <f>IF(B18="","",SUM(R18:U18))</f>
        <v/>
      </c>
      <c r="W18" s="17">
        <f>IF(B18="","",IF(AND(L18="Oui",K18&gt;=SeuilB2B),"Oui (-"&amp;TauxRemiseB2B*100&amp;"%)","Non"))</f>
        <v/>
      </c>
      <c r="X18" s="17">
        <f>IF(B18="","",IF(AND(L18="Oui",K18&gt;=SeuilB2B),V18*(1-TauxRemiseB2B),V18))</f>
        <v/>
      </c>
      <c r="Y18" s="17">
        <f>IF(B18="","",X18*K18)</f>
        <v/>
      </c>
      <c r="Z18" s="17">
        <f>IF(B18="","",Y18*(1+TauxTVA))</f>
        <v/>
      </c>
    </row>
    <row r="19">
      <c r="K19" t="n">
        <v>1</v>
      </c>
      <c r="L19" t="inlineStr">
        <is>
          <t>Non</t>
        </is>
      </c>
      <c r="M19" s="14">
        <f>IF(B19="","",IF(C19&lt;&gt;"",C19,VLOOKUP(B19,SousTypeBijouxTable,2,FALSE)))</f>
        <v/>
      </c>
      <c r="N19" s="14">
        <f>IF(B19="","",IF(D19&lt;&gt;"",D19,VLOOKUP(B19,SousTypeBijouxTable,3,FALSE)))</f>
        <v/>
      </c>
      <c r="O19" s="14">
        <f>IF(B19="","",IF(E19&lt;&gt;"",E19,VLOOKUP(B19,SousTypeBijouxTable,4,FALSE)))</f>
        <v/>
      </c>
      <c r="P19" s="15">
        <f>IF(B19="","",2*((M19*N19)+(M19*O19)+(N19*O19))/10000)</f>
        <v/>
      </c>
      <c r="Q19" s="16">
        <f>IF(B19="","",P19*EpaisseurPanneau)</f>
        <v/>
      </c>
      <c r="R19" s="17">
        <f>IF(B19="","",Q19*IFERROR(VLOOKUP(F19,EssenceTable,2,FALSE),0))</f>
        <v/>
      </c>
      <c r="S19" s="17">
        <f>IF(B19="","",IFERROR(VLOOKUP(G19,FinitionTable,2,FALSE),0)+P19*IFERROR(VLOOKUP(G19,FinitionTable,3,FALSE),0))</f>
        <v/>
      </c>
      <c r="T19" s="17">
        <f>IF(B19="","",IF(OR(H19="",H19="Aucune"),0,(IF(I19="image",GravureSurfImage,GravureSurfTexte)*(IF(J19="",100,J19)/100)^2)*IFERROR(VLOOKUP(H19,GravureProcedeTable,2,FALSE),0)+IF(I19="image",FraisLogo,0)))</f>
        <v/>
      </c>
      <c r="U19" s="17">
        <f>IF(B19="","",MainOeuvreBase+P19*MainOeuvreTaux)</f>
        <v/>
      </c>
      <c r="V19" s="17">
        <f>IF(B19="","",SUM(R19:U19))</f>
        <v/>
      </c>
      <c r="W19" s="17">
        <f>IF(B19="","",IF(AND(L19="Oui",K19&gt;=SeuilB2B),"Oui (-"&amp;TauxRemiseB2B*100&amp;"%)","Non"))</f>
        <v/>
      </c>
      <c r="X19" s="17">
        <f>IF(B19="","",IF(AND(L19="Oui",K19&gt;=SeuilB2B),V19*(1-TauxRemiseB2B),V19))</f>
        <v/>
      </c>
      <c r="Y19" s="17">
        <f>IF(B19="","",X19*K19)</f>
        <v/>
      </c>
      <c r="Z19" s="17">
        <f>IF(B19="","",Y19*(1+TauxTVA))</f>
        <v/>
      </c>
    </row>
    <row r="20">
      <c r="K20" t="n">
        <v>1</v>
      </c>
      <c r="L20" t="inlineStr">
        <is>
          <t>Non</t>
        </is>
      </c>
      <c r="M20" s="14">
        <f>IF(B20="","",IF(C20&lt;&gt;"",C20,VLOOKUP(B20,SousTypeBijouxTable,2,FALSE)))</f>
        <v/>
      </c>
      <c r="N20" s="14">
        <f>IF(B20="","",IF(D20&lt;&gt;"",D20,VLOOKUP(B20,SousTypeBijouxTable,3,FALSE)))</f>
        <v/>
      </c>
      <c r="O20" s="14">
        <f>IF(B20="","",IF(E20&lt;&gt;"",E20,VLOOKUP(B20,SousTypeBijouxTable,4,FALSE)))</f>
        <v/>
      </c>
      <c r="P20" s="15">
        <f>IF(B20="","",2*((M20*N20)+(M20*O20)+(N20*O20))/10000)</f>
        <v/>
      </c>
      <c r="Q20" s="16">
        <f>IF(B20="","",P20*EpaisseurPanneau)</f>
        <v/>
      </c>
      <c r="R20" s="17">
        <f>IF(B20="","",Q20*IFERROR(VLOOKUP(F20,EssenceTable,2,FALSE),0))</f>
        <v/>
      </c>
      <c r="S20" s="17">
        <f>IF(B20="","",IFERROR(VLOOKUP(G20,FinitionTable,2,FALSE),0)+P20*IFERROR(VLOOKUP(G20,FinitionTable,3,FALSE),0))</f>
        <v/>
      </c>
      <c r="T20" s="17">
        <f>IF(B20="","",IF(OR(H20="",H20="Aucune"),0,(IF(I20="image",GravureSurfImage,GravureSurfTexte)*(IF(J20="",100,J20)/100)^2)*IFERROR(VLOOKUP(H20,GravureProcedeTable,2,FALSE),0)+IF(I20="image",FraisLogo,0)))</f>
        <v/>
      </c>
      <c r="U20" s="17">
        <f>IF(B20="","",MainOeuvreBase+P20*MainOeuvreTaux)</f>
        <v/>
      </c>
      <c r="V20" s="17">
        <f>IF(B20="","",SUM(R20:U20))</f>
        <v/>
      </c>
      <c r="W20" s="17">
        <f>IF(B20="","",IF(AND(L20="Oui",K20&gt;=SeuilB2B),"Oui (-"&amp;TauxRemiseB2B*100&amp;"%)","Non"))</f>
        <v/>
      </c>
      <c r="X20" s="17">
        <f>IF(B20="","",IF(AND(L20="Oui",K20&gt;=SeuilB2B),V20*(1-TauxRemiseB2B),V20))</f>
        <v/>
      </c>
      <c r="Y20" s="17">
        <f>IF(B20="","",X20*K20)</f>
        <v/>
      </c>
      <c r="Z20" s="17">
        <f>IF(B20="","",Y20*(1+TauxTVA))</f>
        <v/>
      </c>
    </row>
    <row r="21">
      <c r="K21" t="n">
        <v>1</v>
      </c>
      <c r="L21" t="inlineStr">
        <is>
          <t>Non</t>
        </is>
      </c>
      <c r="M21" s="14">
        <f>IF(B21="","",IF(C21&lt;&gt;"",C21,VLOOKUP(B21,SousTypeBijouxTable,2,FALSE)))</f>
        <v/>
      </c>
      <c r="N21" s="14">
        <f>IF(B21="","",IF(D21&lt;&gt;"",D21,VLOOKUP(B21,SousTypeBijouxTable,3,FALSE)))</f>
        <v/>
      </c>
      <c r="O21" s="14">
        <f>IF(B21="","",IF(E21&lt;&gt;"",E21,VLOOKUP(B21,SousTypeBijouxTable,4,FALSE)))</f>
        <v/>
      </c>
      <c r="P21" s="15">
        <f>IF(B21="","",2*((M21*N21)+(M21*O21)+(N21*O21))/10000)</f>
        <v/>
      </c>
      <c r="Q21" s="16">
        <f>IF(B21="","",P21*EpaisseurPanneau)</f>
        <v/>
      </c>
      <c r="R21" s="17">
        <f>IF(B21="","",Q21*IFERROR(VLOOKUP(F21,EssenceTable,2,FALSE),0))</f>
        <v/>
      </c>
      <c r="S21" s="17">
        <f>IF(B21="","",IFERROR(VLOOKUP(G21,FinitionTable,2,FALSE),0)+P21*IFERROR(VLOOKUP(G21,FinitionTable,3,FALSE),0))</f>
        <v/>
      </c>
      <c r="T21" s="17">
        <f>IF(B21="","",IF(OR(H21="",H21="Aucune"),0,(IF(I21="image",GravureSurfImage,GravureSurfTexte)*(IF(J21="",100,J21)/100)^2)*IFERROR(VLOOKUP(H21,GravureProcedeTable,2,FALSE),0)+IF(I21="image",FraisLogo,0)))</f>
        <v/>
      </c>
      <c r="U21" s="17">
        <f>IF(B21="","",MainOeuvreBase+P21*MainOeuvreTaux)</f>
        <v/>
      </c>
      <c r="V21" s="17">
        <f>IF(B21="","",SUM(R21:U21))</f>
        <v/>
      </c>
      <c r="W21" s="17">
        <f>IF(B21="","",IF(AND(L21="Oui",K21&gt;=SeuilB2B),"Oui (-"&amp;TauxRemiseB2B*100&amp;"%)","Non"))</f>
        <v/>
      </c>
      <c r="X21" s="17">
        <f>IF(B21="","",IF(AND(L21="Oui",K21&gt;=SeuilB2B),V21*(1-TauxRemiseB2B),V21))</f>
        <v/>
      </c>
      <c r="Y21" s="17">
        <f>IF(B21="","",X21*K21)</f>
        <v/>
      </c>
      <c r="Z21" s="17">
        <f>IF(B21="","",Y21*(1+TauxTVA))</f>
        <v/>
      </c>
    </row>
    <row r="22">
      <c r="K22" t="n">
        <v>1</v>
      </c>
      <c r="L22" t="inlineStr">
        <is>
          <t>Non</t>
        </is>
      </c>
      <c r="M22" s="14">
        <f>IF(B22="","",IF(C22&lt;&gt;"",C22,VLOOKUP(B22,SousTypeBijouxTable,2,FALSE)))</f>
        <v/>
      </c>
      <c r="N22" s="14">
        <f>IF(B22="","",IF(D22&lt;&gt;"",D22,VLOOKUP(B22,SousTypeBijouxTable,3,FALSE)))</f>
        <v/>
      </c>
      <c r="O22" s="14">
        <f>IF(B22="","",IF(E22&lt;&gt;"",E22,VLOOKUP(B22,SousTypeBijouxTable,4,FALSE)))</f>
        <v/>
      </c>
      <c r="P22" s="15">
        <f>IF(B22="","",2*((M22*N22)+(M22*O22)+(N22*O22))/10000)</f>
        <v/>
      </c>
      <c r="Q22" s="16">
        <f>IF(B22="","",P22*EpaisseurPanneau)</f>
        <v/>
      </c>
      <c r="R22" s="17">
        <f>IF(B22="","",Q22*IFERROR(VLOOKUP(F22,EssenceTable,2,FALSE),0))</f>
        <v/>
      </c>
      <c r="S22" s="17">
        <f>IF(B22="","",IFERROR(VLOOKUP(G22,FinitionTable,2,FALSE),0)+P22*IFERROR(VLOOKUP(G22,FinitionTable,3,FALSE),0))</f>
        <v/>
      </c>
      <c r="T22" s="17">
        <f>IF(B22="","",IF(OR(H22="",H22="Aucune"),0,(IF(I22="image",GravureSurfImage,GravureSurfTexte)*(IF(J22="",100,J22)/100)^2)*IFERROR(VLOOKUP(H22,GravureProcedeTable,2,FALSE),0)+IF(I22="image",FraisLogo,0)))</f>
        <v/>
      </c>
      <c r="U22" s="17">
        <f>IF(B22="","",MainOeuvreBase+P22*MainOeuvreTaux)</f>
        <v/>
      </c>
      <c r="V22" s="17">
        <f>IF(B22="","",SUM(R22:U22))</f>
        <v/>
      </c>
      <c r="W22" s="17">
        <f>IF(B22="","",IF(AND(L22="Oui",K22&gt;=SeuilB2B),"Oui (-"&amp;TauxRemiseB2B*100&amp;"%)","Non"))</f>
        <v/>
      </c>
      <c r="X22" s="17">
        <f>IF(B22="","",IF(AND(L22="Oui",K22&gt;=SeuilB2B),V22*(1-TauxRemiseB2B),V22))</f>
        <v/>
      </c>
      <c r="Y22" s="17">
        <f>IF(B22="","",X22*K22)</f>
        <v/>
      </c>
      <c r="Z22" s="17">
        <f>IF(B22="","",Y22*(1+TauxTVA))</f>
        <v/>
      </c>
    </row>
    <row r="23">
      <c r="K23" t="n">
        <v>1</v>
      </c>
      <c r="L23" t="inlineStr">
        <is>
          <t>Non</t>
        </is>
      </c>
      <c r="M23" s="14">
        <f>IF(B23="","",IF(C23&lt;&gt;"",C23,VLOOKUP(B23,SousTypeBijouxTable,2,FALSE)))</f>
        <v/>
      </c>
      <c r="N23" s="14">
        <f>IF(B23="","",IF(D23&lt;&gt;"",D23,VLOOKUP(B23,SousTypeBijouxTable,3,FALSE)))</f>
        <v/>
      </c>
      <c r="O23" s="14">
        <f>IF(B23="","",IF(E23&lt;&gt;"",E23,VLOOKUP(B23,SousTypeBijouxTable,4,FALSE)))</f>
        <v/>
      </c>
      <c r="P23" s="15">
        <f>IF(B23="","",2*((M23*N23)+(M23*O23)+(N23*O23))/10000)</f>
        <v/>
      </c>
      <c r="Q23" s="16">
        <f>IF(B23="","",P23*EpaisseurPanneau)</f>
        <v/>
      </c>
      <c r="R23" s="17">
        <f>IF(B23="","",Q23*IFERROR(VLOOKUP(F23,EssenceTable,2,FALSE),0))</f>
        <v/>
      </c>
      <c r="S23" s="17">
        <f>IF(B23="","",IFERROR(VLOOKUP(G23,FinitionTable,2,FALSE),0)+P23*IFERROR(VLOOKUP(G23,FinitionTable,3,FALSE),0))</f>
        <v/>
      </c>
      <c r="T23" s="17">
        <f>IF(B23="","",IF(OR(H23="",H23="Aucune"),0,(IF(I23="image",GravureSurfImage,GravureSurfTexte)*(IF(J23="",100,J23)/100)^2)*IFERROR(VLOOKUP(H23,GravureProcedeTable,2,FALSE),0)+IF(I23="image",FraisLogo,0)))</f>
        <v/>
      </c>
      <c r="U23" s="17">
        <f>IF(B23="","",MainOeuvreBase+P23*MainOeuvreTaux)</f>
        <v/>
      </c>
      <c r="V23" s="17">
        <f>IF(B23="","",SUM(R23:U23))</f>
        <v/>
      </c>
      <c r="W23" s="17">
        <f>IF(B23="","",IF(AND(L23="Oui",K23&gt;=SeuilB2B),"Oui (-"&amp;TauxRemiseB2B*100&amp;"%)","Non"))</f>
        <v/>
      </c>
      <c r="X23" s="17">
        <f>IF(B23="","",IF(AND(L23="Oui",K23&gt;=SeuilB2B),V23*(1-TauxRemiseB2B),V23))</f>
        <v/>
      </c>
      <c r="Y23" s="17">
        <f>IF(B23="","",X23*K23)</f>
        <v/>
      </c>
      <c r="Z23" s="17">
        <f>IF(B23="","",Y23*(1+TauxTVA))</f>
        <v/>
      </c>
    </row>
    <row r="24">
      <c r="K24" t="n">
        <v>1</v>
      </c>
      <c r="L24" t="inlineStr">
        <is>
          <t>Non</t>
        </is>
      </c>
      <c r="M24" s="14">
        <f>IF(B24="","",IF(C24&lt;&gt;"",C24,VLOOKUP(B24,SousTypeBijouxTable,2,FALSE)))</f>
        <v/>
      </c>
      <c r="N24" s="14">
        <f>IF(B24="","",IF(D24&lt;&gt;"",D24,VLOOKUP(B24,SousTypeBijouxTable,3,FALSE)))</f>
        <v/>
      </c>
      <c r="O24" s="14">
        <f>IF(B24="","",IF(E24&lt;&gt;"",E24,VLOOKUP(B24,SousTypeBijouxTable,4,FALSE)))</f>
        <v/>
      </c>
      <c r="P24" s="15">
        <f>IF(B24="","",2*((M24*N24)+(M24*O24)+(N24*O24))/10000)</f>
        <v/>
      </c>
      <c r="Q24" s="16">
        <f>IF(B24="","",P24*EpaisseurPanneau)</f>
        <v/>
      </c>
      <c r="R24" s="17">
        <f>IF(B24="","",Q24*IFERROR(VLOOKUP(F24,EssenceTable,2,FALSE),0))</f>
        <v/>
      </c>
      <c r="S24" s="17">
        <f>IF(B24="","",IFERROR(VLOOKUP(G24,FinitionTable,2,FALSE),0)+P24*IFERROR(VLOOKUP(G24,FinitionTable,3,FALSE),0))</f>
        <v/>
      </c>
      <c r="T24" s="17">
        <f>IF(B24="","",IF(OR(H24="",H24="Aucune"),0,(IF(I24="image",GravureSurfImage,GravureSurfTexte)*(IF(J24="",100,J24)/100)^2)*IFERROR(VLOOKUP(H24,GravureProcedeTable,2,FALSE),0)+IF(I24="image",FraisLogo,0)))</f>
        <v/>
      </c>
      <c r="U24" s="17">
        <f>IF(B24="","",MainOeuvreBase+P24*MainOeuvreTaux)</f>
        <v/>
      </c>
      <c r="V24" s="17">
        <f>IF(B24="","",SUM(R24:U24))</f>
        <v/>
      </c>
      <c r="W24" s="17">
        <f>IF(B24="","",IF(AND(L24="Oui",K24&gt;=SeuilB2B),"Oui (-"&amp;TauxRemiseB2B*100&amp;"%)","Non"))</f>
        <v/>
      </c>
      <c r="X24" s="17">
        <f>IF(B24="","",IF(AND(L24="Oui",K24&gt;=SeuilB2B),V24*(1-TauxRemiseB2B),V24))</f>
        <v/>
      </c>
      <c r="Y24" s="17">
        <f>IF(B24="","",X24*K24)</f>
        <v/>
      </c>
      <c r="Z24" s="17">
        <f>IF(B24="","",Y24*(1+TauxTVA))</f>
        <v/>
      </c>
    </row>
    <row r="25">
      <c r="K25" t="n">
        <v>1</v>
      </c>
      <c r="L25" t="inlineStr">
        <is>
          <t>Non</t>
        </is>
      </c>
      <c r="M25" s="14">
        <f>IF(B25="","",IF(C25&lt;&gt;"",C25,VLOOKUP(B25,SousTypeBijouxTable,2,FALSE)))</f>
        <v/>
      </c>
      <c r="N25" s="14">
        <f>IF(B25="","",IF(D25&lt;&gt;"",D25,VLOOKUP(B25,SousTypeBijouxTable,3,FALSE)))</f>
        <v/>
      </c>
      <c r="O25" s="14">
        <f>IF(B25="","",IF(E25&lt;&gt;"",E25,VLOOKUP(B25,SousTypeBijouxTable,4,FALSE)))</f>
        <v/>
      </c>
      <c r="P25" s="15">
        <f>IF(B25="","",2*((M25*N25)+(M25*O25)+(N25*O25))/10000)</f>
        <v/>
      </c>
      <c r="Q25" s="16">
        <f>IF(B25="","",P25*EpaisseurPanneau)</f>
        <v/>
      </c>
      <c r="R25" s="17">
        <f>IF(B25="","",Q25*IFERROR(VLOOKUP(F25,EssenceTable,2,FALSE),0))</f>
        <v/>
      </c>
      <c r="S25" s="17">
        <f>IF(B25="","",IFERROR(VLOOKUP(G25,FinitionTable,2,FALSE),0)+P25*IFERROR(VLOOKUP(G25,FinitionTable,3,FALSE),0))</f>
        <v/>
      </c>
      <c r="T25" s="17">
        <f>IF(B25="","",IF(OR(H25="",H25="Aucune"),0,(IF(I25="image",GravureSurfImage,GravureSurfTexte)*(IF(J25="",100,J25)/100)^2)*IFERROR(VLOOKUP(H25,GravureProcedeTable,2,FALSE),0)+IF(I25="image",FraisLogo,0)))</f>
        <v/>
      </c>
      <c r="U25" s="17">
        <f>IF(B25="","",MainOeuvreBase+P25*MainOeuvreTaux)</f>
        <v/>
      </c>
      <c r="V25" s="17">
        <f>IF(B25="","",SUM(R25:U25))</f>
        <v/>
      </c>
      <c r="W25" s="17">
        <f>IF(B25="","",IF(AND(L25="Oui",K25&gt;=SeuilB2B),"Oui (-"&amp;TauxRemiseB2B*100&amp;"%)","Non"))</f>
        <v/>
      </c>
      <c r="X25" s="17">
        <f>IF(B25="","",IF(AND(L25="Oui",K25&gt;=SeuilB2B),V25*(1-TauxRemiseB2B),V25))</f>
        <v/>
      </c>
      <c r="Y25" s="17">
        <f>IF(B25="","",X25*K25)</f>
        <v/>
      </c>
      <c r="Z25" s="17">
        <f>IF(B25="","",Y25*(1+TauxTVA))</f>
        <v/>
      </c>
    </row>
    <row r="26">
      <c r="K26" t="n">
        <v>1</v>
      </c>
      <c r="L26" t="inlineStr">
        <is>
          <t>Non</t>
        </is>
      </c>
      <c r="M26" s="14">
        <f>IF(B26="","",IF(C26&lt;&gt;"",C26,VLOOKUP(B26,SousTypeBijouxTable,2,FALSE)))</f>
        <v/>
      </c>
      <c r="N26" s="14">
        <f>IF(B26="","",IF(D26&lt;&gt;"",D26,VLOOKUP(B26,SousTypeBijouxTable,3,FALSE)))</f>
        <v/>
      </c>
      <c r="O26" s="14">
        <f>IF(B26="","",IF(E26&lt;&gt;"",E26,VLOOKUP(B26,SousTypeBijouxTable,4,FALSE)))</f>
        <v/>
      </c>
      <c r="P26" s="15">
        <f>IF(B26="","",2*((M26*N26)+(M26*O26)+(N26*O26))/10000)</f>
        <v/>
      </c>
      <c r="Q26" s="16">
        <f>IF(B26="","",P26*EpaisseurPanneau)</f>
        <v/>
      </c>
      <c r="R26" s="17">
        <f>IF(B26="","",Q26*IFERROR(VLOOKUP(F26,EssenceTable,2,FALSE),0))</f>
        <v/>
      </c>
      <c r="S26" s="17">
        <f>IF(B26="","",IFERROR(VLOOKUP(G26,FinitionTable,2,FALSE),0)+P26*IFERROR(VLOOKUP(G26,FinitionTable,3,FALSE),0))</f>
        <v/>
      </c>
      <c r="T26" s="17">
        <f>IF(B26="","",IF(OR(H26="",H26="Aucune"),0,(IF(I26="image",GravureSurfImage,GravureSurfTexte)*(IF(J26="",100,J26)/100)^2)*IFERROR(VLOOKUP(H26,GravureProcedeTable,2,FALSE),0)+IF(I26="image",FraisLogo,0)))</f>
        <v/>
      </c>
      <c r="U26" s="17">
        <f>IF(B26="","",MainOeuvreBase+P26*MainOeuvreTaux)</f>
        <v/>
      </c>
      <c r="V26" s="17">
        <f>IF(B26="","",SUM(R26:U26))</f>
        <v/>
      </c>
      <c r="W26" s="17">
        <f>IF(B26="","",IF(AND(L26="Oui",K26&gt;=SeuilB2B),"Oui (-"&amp;TauxRemiseB2B*100&amp;"%)","Non"))</f>
        <v/>
      </c>
      <c r="X26" s="17">
        <f>IF(B26="","",IF(AND(L26="Oui",K26&gt;=SeuilB2B),V26*(1-TauxRemiseB2B),V26))</f>
        <v/>
      </c>
      <c r="Y26" s="17">
        <f>IF(B26="","",X26*K26)</f>
        <v/>
      </c>
      <c r="Z26" s="17">
        <f>IF(B26="","",Y26*(1+TauxTVA))</f>
        <v/>
      </c>
    </row>
    <row r="27">
      <c r="A27" s="18" t="inlineStr">
        <is>
          <t>TOTAL COMMANDE</t>
        </is>
      </c>
      <c r="Y27" s="19">
        <f>SUM(Y2:Y26)</f>
        <v/>
      </c>
      <c r="Z27" s="19">
        <f>SUM(Z2:Z26)</f>
        <v/>
      </c>
    </row>
  </sheetData>
  <dataValidations count="6">
    <dataValidation sqref="B2:B26" showDropDown="0" showInputMessage="0" showErrorMessage="0" allowBlank="1" type="list">
      <formula1>SousTypeBijouxListe</formula1>
    </dataValidation>
    <dataValidation sqref="F2:F26" showDropDown="0" showInputMessage="0" showErrorMessage="0" allowBlank="1" type="list">
      <formula1>EssenceListe</formula1>
    </dataValidation>
    <dataValidation sqref="G2:G26" showDropDown="0" showInputMessage="0" showErrorMessage="0" allowBlank="1" type="list">
      <formula1>FinitionListe</formula1>
    </dataValidation>
    <dataValidation sqref="H2:H26" showDropDown="0" showInputMessage="0" showErrorMessage="0" allowBlank="1" type="list">
      <formula1>GravureProcedeListe</formula1>
    </dataValidation>
    <dataValidation sqref="I2:I26" showDropDown="0" showInputMessage="0" showErrorMessage="0" allowBlank="1" type="list">
      <formula1>"texte,image"</formula1>
    </dataValidation>
    <dataValidation sqref="L2:L26" showDropDown="0" showInputMessage="0" showErrorMessage="0" allowBlank="1" type="list">
      <formula1>"Oui,Non"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2026-08-16T21:53:11Z</dcterms:created>
  <dcterms:modified xsi:type="dcterms:W3CDTF">2026-08-16T21:53:11Z</dcterms:modified>
</cp:coreProperties>
</file>